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mpleted_orders" sheetId="3" state="visible" r:id="rId3"/>
  </sheets>
  <definedNames>
    <definedName name="_xlnm._FilterDatabase" localSheetId="0" hidden="1">'orders'!$A$1:$R$91</definedName>
    <definedName name="_xlnm._FilterDatabase" localSheetId="1" hidden="1">'products'!$A$1:$C$10</definedName>
    <definedName name="_xlnm._FilterDatabase" localSheetId="2" hidden="1">'completed_orders'!$A$1:$W$64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9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32" customWidth="1" min="13" max="13"/>
    <col width="32" customWidth="1" min="14" max="14"/>
    <col width="14" customWidth="1" min="15" max="15"/>
    <col width="12" customWidth="1" min="16" max="16"/>
    <col width="26" customWidth="1" min="17" max="17"/>
    <col width="32" customWidth="1" min="18" max="18"/>
  </cols>
  <sheetData>
    <row r="1">
      <c r="A1" s="1" t="inlineStr">
        <is>
          <t>order_id</t>
        </is>
      </c>
      <c r="B1" s="1" t="inlineStr">
        <is>
          <t>order_month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region</t>
        </is>
      </c>
      <c r="F1" s="1" t="inlineStr">
        <is>
          <t>rep_name</t>
        </is>
      </c>
      <c r="G1" s="1" t="inlineStr">
        <is>
          <t>item</t>
        </is>
      </c>
      <c r="H1" s="1" t="inlineStr">
        <is>
          <t>quantity</t>
        </is>
      </c>
      <c r="I1" s="1" t="inlineStr">
        <is>
          <t>amount</t>
        </is>
      </c>
      <c r="J1" s="1" t="inlineStr">
        <is>
          <t>status</t>
        </is>
      </c>
      <c r="K1" s="1" t="inlineStr">
        <is>
          <t>clean_first_name</t>
        </is>
      </c>
      <c r="L1" s="1" t="inlineStr">
        <is>
          <t>clean_last_name</t>
        </is>
      </c>
      <c r="M1" s="1" t="inlineStr">
        <is>
          <t>category</t>
        </is>
      </c>
      <c r="N1" s="1" t="inlineStr">
        <is>
          <t>unit_price</t>
        </is>
      </c>
      <c r="O1" s="1" t="inlineStr">
        <is>
          <t>revenue_calc</t>
        </is>
      </c>
      <c r="P1" s="1" t="n"/>
      <c r="Q1" s="1" t="inlineStr">
        <is>
          <t>Missing-key XLOOKUP test</t>
        </is>
      </c>
      <c r="R1" s="1" t="n"/>
    </row>
    <row r="2">
      <c r="A2" t="n">
        <v>1001</v>
      </c>
      <c r="B2" s="2" t="inlineStr">
        <is>
          <t>2026-09</t>
        </is>
      </c>
      <c r="C2" t="inlineStr">
        <is>
          <t>MEERA</t>
        </is>
      </c>
      <c r="D2" t="inlineStr">
        <is>
          <t xml:space="preserve">  Patil</t>
        </is>
      </c>
      <c r="E2" t="inlineStr">
        <is>
          <t>South</t>
        </is>
      </c>
      <c r="F2" t="inlineStr">
        <is>
          <t>Kavya Nair</t>
        </is>
      </c>
      <c r="G2" t="inlineStr">
        <is>
          <t>Bluetooth Speaker</t>
        </is>
      </c>
      <c r="H2" t="n">
        <v>2</v>
      </c>
      <c r="I2" s="3" t="n"/>
      <c r="J2" t="inlineStr">
        <is>
          <t>pending</t>
        </is>
      </c>
      <c r="K2">
        <f>PROPER(TRIM(C2))</f>
        <v/>
      </c>
      <c r="L2">
        <f>PROPER(TRIM(D2))</f>
        <v/>
      </c>
      <c r="M2">
        <f>VLOOKUP(G2,products!$A$2:$C$10,2,FALSE)</f>
        <v/>
      </c>
      <c r="N2" s="3">
        <f>XLOOKUP(G2,products!$A$2:$A$10,products!$C$2:$C$10,"UNKNOWN_ITEM")</f>
        <v/>
      </c>
      <c r="O2" s="3">
        <f>N2*H2</f>
        <v/>
      </c>
      <c r="Q2" t="inlineStr">
        <is>
          <t>Mystery Item</t>
        </is>
      </c>
      <c r="R2">
        <f>XLOOKUP(Q2,products!$A$2:$A$10,products!$C$2:$C$10,"UNKNOWN_ITEM")</f>
        <v/>
      </c>
    </row>
    <row r="3">
      <c r="A3" t="n">
        <v>1002</v>
      </c>
      <c r="B3" s="2" t="inlineStr">
        <is>
          <t>2026-09</t>
        </is>
      </c>
      <c r="C3" t="inlineStr">
        <is>
          <t>Nisha</t>
        </is>
      </c>
      <c r="D3" t="inlineStr">
        <is>
          <t>Mishra</t>
        </is>
      </c>
      <c r="E3" t="inlineStr">
        <is>
          <t>West</t>
        </is>
      </c>
      <c r="F3" t="inlineStr">
        <is>
          <t>Neha Kulkarni</t>
        </is>
      </c>
      <c r="G3" t="inlineStr">
        <is>
          <t>Smart Watch</t>
        </is>
      </c>
      <c r="H3" t="n">
        <v>1</v>
      </c>
      <c r="I3" s="3" t="n">
        <v>4500</v>
      </c>
      <c r="J3" t="inlineStr">
        <is>
          <t>pending</t>
        </is>
      </c>
      <c r="K3">
        <f>PROPER(TRIM(C3))</f>
        <v/>
      </c>
      <c r="L3">
        <f>PROPER(TRIM(D3))</f>
        <v/>
      </c>
      <c r="M3">
        <f>VLOOKUP(G3,products!$A$2:$C$10,2,FALSE)</f>
        <v/>
      </c>
      <c r="N3" s="3">
        <f>XLOOKUP(G3,products!$A$2:$A$10,products!$C$2:$C$10,"UNKNOWN_ITEM")</f>
        <v/>
      </c>
      <c r="O3" s="3">
        <f>N3*H3</f>
        <v/>
      </c>
    </row>
    <row r="4">
      <c r="A4" t="n">
        <v>1003</v>
      </c>
      <c r="B4" s="2" t="inlineStr">
        <is>
          <t>2026-09</t>
        </is>
      </c>
      <c r="C4" t="inlineStr">
        <is>
          <t>Lakshmi</t>
        </is>
      </c>
      <c r="D4" t="inlineStr">
        <is>
          <t>Kapoor</t>
        </is>
      </c>
      <c r="E4" t="inlineStr">
        <is>
          <t>South</t>
        </is>
      </c>
      <c r="F4" t="inlineStr">
        <is>
          <t>Kavya Nair</t>
        </is>
      </c>
      <c r="G4" t="inlineStr">
        <is>
          <t>Air Fryer</t>
        </is>
      </c>
      <c r="H4" t="n">
        <v>2</v>
      </c>
      <c r="I4" s="3" t="n">
        <v>10400</v>
      </c>
      <c r="J4" t="inlineStr">
        <is>
          <t>disputed</t>
        </is>
      </c>
      <c r="K4">
        <f>PROPER(TRIM(C4))</f>
        <v/>
      </c>
      <c r="L4">
        <f>PROPER(TRIM(D4))</f>
        <v/>
      </c>
      <c r="M4">
        <f>VLOOKUP(G4,products!$A$2:$C$10,2,FALSE)</f>
        <v/>
      </c>
      <c r="N4" s="3">
        <f>XLOOKUP(G4,products!$A$2:$A$10,products!$C$2:$C$10,"UNKNOWN_ITEM")</f>
        <v/>
      </c>
      <c r="O4" s="3">
        <f>N4*H4</f>
        <v/>
      </c>
    </row>
    <row r="5">
      <c r="A5" t="n">
        <v>1004</v>
      </c>
      <c r="B5" s="2" t="inlineStr">
        <is>
          <t>2026-09</t>
        </is>
      </c>
      <c r="C5" t="inlineStr">
        <is>
          <t>Gaurav</t>
        </is>
      </c>
      <c r="D5" t="inlineStr">
        <is>
          <t>Yadav</t>
        </is>
      </c>
      <c r="E5" t="inlineStr">
        <is>
          <t>East</t>
        </is>
      </c>
      <c r="F5" t="inlineStr">
        <is>
          <t>Sanjay Roy</t>
        </is>
      </c>
      <c r="G5" t="inlineStr">
        <is>
          <t>Cotton Kurta</t>
        </is>
      </c>
      <c r="H5" t="n">
        <v>2</v>
      </c>
      <c r="I5" s="3" t="n">
        <v>2800</v>
      </c>
      <c r="J5" t="inlineStr">
        <is>
          <t>pending</t>
        </is>
      </c>
      <c r="K5">
        <f>PROPER(TRIM(C5))</f>
        <v/>
      </c>
      <c r="L5">
        <f>PROPER(TRIM(D5))</f>
        <v/>
      </c>
      <c r="M5">
        <f>VLOOKUP(G5,products!$A$2:$C$10,2,FALSE)</f>
        <v/>
      </c>
      <c r="N5" s="3">
        <f>XLOOKUP(G5,products!$A$2:$A$10,products!$C$2:$C$10,"UNKNOWN_ITEM")</f>
        <v/>
      </c>
      <c r="O5" s="3">
        <f>N5*H5</f>
        <v/>
      </c>
    </row>
    <row r="6">
      <c r="A6" t="n">
        <v>1005</v>
      </c>
      <c r="B6" s="2" t="inlineStr">
        <is>
          <t>2026-09</t>
        </is>
      </c>
      <c r="C6" t="inlineStr">
        <is>
          <t>Tanvi</t>
        </is>
      </c>
      <c r="D6" t="inlineStr">
        <is>
          <t>Thakur</t>
        </is>
      </c>
      <c r="E6" t="inlineStr">
        <is>
          <t>South</t>
        </is>
      </c>
      <c r="F6" t="inlineStr">
        <is>
          <t>Kavya Nair</t>
        </is>
      </c>
      <c r="G6" t="inlineStr">
        <is>
          <t>Table Lamp</t>
        </is>
      </c>
      <c r="H6" t="n">
        <v>1</v>
      </c>
      <c r="I6" s="3" t="n">
        <v>1100</v>
      </c>
      <c r="J6" t="inlineStr">
        <is>
          <t>completed</t>
        </is>
      </c>
      <c r="K6">
        <f>PROPER(TRIM(C6))</f>
        <v/>
      </c>
      <c r="L6">
        <f>PROPER(TRIM(D6))</f>
        <v/>
      </c>
      <c r="M6">
        <f>VLOOKUP(G6,products!$A$2:$C$10,2,FALSE)</f>
        <v/>
      </c>
      <c r="N6" s="3">
        <f>XLOOKUP(G6,products!$A$2:$A$10,products!$C$2:$C$10,"UNKNOWN_ITEM")</f>
        <v/>
      </c>
      <c r="O6" s="3">
        <f>N6*H6</f>
        <v/>
      </c>
    </row>
    <row r="7">
      <c r="A7" t="n">
        <v>1006</v>
      </c>
      <c r="B7" s="2" t="inlineStr">
        <is>
          <t>2026-09</t>
        </is>
      </c>
      <c r="C7" t="inlineStr">
        <is>
          <t xml:space="preserve">  Vikram</t>
        </is>
      </c>
      <c r="D7" t="inlineStr">
        <is>
          <t xml:space="preserve">Singh </t>
        </is>
      </c>
      <c r="E7" t="inlineStr">
        <is>
          <t>North</t>
        </is>
      </c>
      <c r="F7" t="inlineStr">
        <is>
          <t>Arjun Mehta</t>
        </is>
      </c>
      <c r="G7" t="inlineStr">
        <is>
          <t>Smart Watch</t>
        </is>
      </c>
      <c r="H7" t="n">
        <v>3</v>
      </c>
      <c r="I7" s="3" t="n">
        <v>13500</v>
      </c>
      <c r="J7" t="inlineStr">
        <is>
          <t>completed</t>
        </is>
      </c>
      <c r="K7">
        <f>PROPER(TRIM(C7))</f>
        <v/>
      </c>
      <c r="L7">
        <f>PROPER(TRIM(D7))</f>
        <v/>
      </c>
      <c r="M7">
        <f>VLOOKUP(G7,products!$A$2:$C$10,2,FALSE)</f>
        <v/>
      </c>
      <c r="N7" s="3">
        <f>XLOOKUP(G7,products!$A$2:$A$10,products!$C$2:$C$10,"UNKNOWN_ITEM")</f>
        <v/>
      </c>
      <c r="O7" s="3">
        <f>N7*H7</f>
        <v/>
      </c>
    </row>
    <row r="8">
      <c r="A8" t="n">
        <v>1007</v>
      </c>
      <c r="B8" s="2" t="inlineStr">
        <is>
          <t>2026-09</t>
        </is>
      </c>
      <c r="C8" t="inlineStr">
        <is>
          <t>Tanvi</t>
        </is>
      </c>
      <c r="D8" t="inlineStr">
        <is>
          <t>Thakur</t>
        </is>
      </c>
      <c r="E8" t="inlineStr">
        <is>
          <t>South</t>
        </is>
      </c>
      <c r="F8" t="inlineStr">
        <is>
          <t>Kavya Nair</t>
        </is>
      </c>
      <c r="G8" t="inlineStr">
        <is>
          <t>Bedsheet Set</t>
        </is>
      </c>
      <c r="H8" t="n">
        <v>1</v>
      </c>
      <c r="I8" s="3" t="n">
        <v>1900</v>
      </c>
      <c r="J8" t="inlineStr">
        <is>
          <t>completed</t>
        </is>
      </c>
      <c r="K8">
        <f>PROPER(TRIM(C8))</f>
        <v/>
      </c>
      <c r="L8">
        <f>PROPER(TRIM(D8))</f>
        <v/>
      </c>
      <c r="M8">
        <f>VLOOKUP(G8,products!$A$2:$C$10,2,FALSE)</f>
        <v/>
      </c>
      <c r="N8" s="3">
        <f>XLOOKUP(G8,products!$A$2:$A$10,products!$C$2:$C$10,"UNKNOWN_ITEM")</f>
        <v/>
      </c>
      <c r="O8" s="3">
        <f>N8*H8</f>
        <v/>
      </c>
    </row>
    <row r="9">
      <c r="A9" t="n">
        <v>1008</v>
      </c>
      <c r="B9" s="2" t="inlineStr">
        <is>
          <t>2026-09</t>
        </is>
      </c>
      <c r="C9" t="inlineStr">
        <is>
          <t>Sneha</t>
        </is>
      </c>
      <c r="D9" t="inlineStr">
        <is>
          <t>Das</t>
        </is>
      </c>
      <c r="E9" t="inlineStr">
        <is>
          <t>West</t>
        </is>
      </c>
      <c r="F9" t="inlineStr">
        <is>
          <t>Neha Kulkarni</t>
        </is>
      </c>
      <c r="G9" t="inlineStr">
        <is>
          <t>Wireless Earbuds</t>
        </is>
      </c>
      <c r="H9" t="n">
        <v>2</v>
      </c>
      <c r="I9" s="3" t="n">
        <v>6400</v>
      </c>
      <c r="J9" t="inlineStr">
        <is>
          <t>completed</t>
        </is>
      </c>
      <c r="K9">
        <f>PROPER(TRIM(C9))</f>
        <v/>
      </c>
      <c r="L9">
        <f>PROPER(TRIM(D9))</f>
        <v/>
      </c>
      <c r="M9">
        <f>VLOOKUP(G9,products!$A$2:$C$10,2,FALSE)</f>
        <v/>
      </c>
      <c r="N9" s="3">
        <f>XLOOKUP(G9,products!$A$2:$A$10,products!$C$2:$C$10,"UNKNOWN_ITEM")</f>
        <v/>
      </c>
      <c r="O9" s="3">
        <f>N9*H9</f>
        <v/>
      </c>
    </row>
    <row r="10">
      <c r="A10" t="n">
        <v>1009</v>
      </c>
      <c r="B10" s="2" t="inlineStr">
        <is>
          <t>2026-09</t>
        </is>
      </c>
      <c r="C10" t="inlineStr">
        <is>
          <t>RAHUL</t>
        </is>
      </c>
      <c r="D10" t="inlineStr">
        <is>
          <t>VERMA</t>
        </is>
      </c>
      <c r="E10" t="inlineStr">
        <is>
          <t>East</t>
        </is>
      </c>
      <c r="F10" t="inlineStr">
        <is>
          <t>Sanjay Roy</t>
        </is>
      </c>
      <c r="G10" t="inlineStr">
        <is>
          <t>Bedsheet Set</t>
        </is>
      </c>
      <c r="H10" t="n">
        <v>1</v>
      </c>
      <c r="I10" s="3" t="n">
        <v>1900</v>
      </c>
      <c r="J10" t="inlineStr">
        <is>
          <t>completed</t>
        </is>
      </c>
      <c r="K10">
        <f>PROPER(TRIM(C10))</f>
        <v/>
      </c>
      <c r="L10">
        <f>PROPER(TRIM(D10))</f>
        <v/>
      </c>
      <c r="M10">
        <f>VLOOKUP(G10,products!$A$2:$C$10,2,FALSE)</f>
        <v/>
      </c>
      <c r="N10" s="3">
        <f>XLOOKUP(G10,products!$A$2:$A$10,products!$C$2:$C$10,"UNKNOWN_ITEM")</f>
        <v/>
      </c>
      <c r="O10" s="3">
        <f>N10*H10</f>
        <v/>
      </c>
    </row>
    <row r="11">
      <c r="A11" t="n">
        <v>1010</v>
      </c>
      <c r="B11" s="2" t="inlineStr">
        <is>
          <t>2026-09</t>
        </is>
      </c>
      <c r="C11" t="inlineStr">
        <is>
          <t>Gaurav</t>
        </is>
      </c>
      <c r="D11" t="inlineStr">
        <is>
          <t>Yadav</t>
        </is>
      </c>
      <c r="E11" t="inlineStr">
        <is>
          <t>East</t>
        </is>
      </c>
      <c r="F11" t="inlineStr">
        <is>
          <t>Sanjay Roy</t>
        </is>
      </c>
      <c r="G11" t="inlineStr">
        <is>
          <t>Wireless Earbuds</t>
        </is>
      </c>
      <c r="H11" t="n">
        <v>1</v>
      </c>
      <c r="I11" s="3" t="n"/>
      <c r="J11" t="inlineStr">
        <is>
          <t>pending</t>
        </is>
      </c>
      <c r="K11">
        <f>PROPER(TRIM(C11))</f>
        <v/>
      </c>
      <c r="L11">
        <f>PROPER(TRIM(D11))</f>
        <v/>
      </c>
      <c r="M11">
        <f>VLOOKUP(G11,products!$A$2:$C$10,2,FALSE)</f>
        <v/>
      </c>
      <c r="N11" s="3">
        <f>XLOOKUP(G11,products!$A$2:$A$10,products!$C$2:$C$10,"UNKNOWN_ITEM")</f>
        <v/>
      </c>
      <c r="O11" s="3">
        <f>N11*H11</f>
        <v/>
      </c>
    </row>
    <row r="12">
      <c r="A12" t="n">
        <v>1011</v>
      </c>
      <c r="B12" s="2" t="inlineStr">
        <is>
          <t>2026-09</t>
        </is>
      </c>
      <c r="C12" t="inlineStr">
        <is>
          <t xml:space="preserve">  Isha</t>
        </is>
      </c>
      <c r="D12" t="inlineStr">
        <is>
          <t>Pillai</t>
        </is>
      </c>
      <c r="E12" t="inlineStr">
        <is>
          <t>West</t>
        </is>
      </c>
      <c r="F12" t="inlineStr">
        <is>
          <t>Neha Kulkarni</t>
        </is>
      </c>
      <c r="G12" t="inlineStr">
        <is>
          <t>Air Fryer</t>
        </is>
      </c>
      <c r="H12" t="n">
        <v>3</v>
      </c>
      <c r="I12" s="3" t="n">
        <v>15600</v>
      </c>
      <c r="J12" t="inlineStr">
        <is>
          <t>disputed</t>
        </is>
      </c>
      <c r="K12">
        <f>PROPER(TRIM(C12))</f>
        <v/>
      </c>
      <c r="L12">
        <f>PROPER(TRIM(D12))</f>
        <v/>
      </c>
      <c r="M12">
        <f>VLOOKUP(G12,products!$A$2:$C$10,2,FALSE)</f>
        <v/>
      </c>
      <c r="N12" s="3">
        <f>XLOOKUP(G12,products!$A$2:$A$10,products!$C$2:$C$10,"UNKNOWN_ITEM")</f>
        <v/>
      </c>
      <c r="O12" s="3">
        <f>N12*H12</f>
        <v/>
      </c>
    </row>
    <row r="13">
      <c r="A13" t="n">
        <v>1012</v>
      </c>
      <c r="B13" s="2" t="inlineStr">
        <is>
          <t>2026-09</t>
        </is>
      </c>
      <c r="C13" t="inlineStr">
        <is>
          <t>Sneha</t>
        </is>
      </c>
      <c r="D13" t="inlineStr">
        <is>
          <t>Das</t>
        </is>
      </c>
      <c r="E13" t="inlineStr">
        <is>
          <t>West</t>
        </is>
      </c>
      <c r="F13" t="inlineStr">
        <is>
          <t>Neha Kulkarni</t>
        </is>
      </c>
      <c r="G13" t="inlineStr">
        <is>
          <t>Running Shoes</t>
        </is>
      </c>
      <c r="H13" t="n">
        <v>1</v>
      </c>
      <c r="I13" s="3" t="n">
        <v>3600</v>
      </c>
      <c r="J13" t="inlineStr">
        <is>
          <t>completed</t>
        </is>
      </c>
      <c r="K13">
        <f>PROPER(TRIM(C13))</f>
        <v/>
      </c>
      <c r="L13">
        <f>PROPER(TRIM(D13))</f>
        <v/>
      </c>
      <c r="M13">
        <f>VLOOKUP(G13,products!$A$2:$C$10,2,FALSE)</f>
        <v/>
      </c>
      <c r="N13" s="3">
        <f>XLOOKUP(G13,products!$A$2:$A$10,products!$C$2:$C$10,"UNKNOWN_ITEM")</f>
        <v/>
      </c>
      <c r="O13" s="3">
        <f>N13*H13</f>
        <v/>
      </c>
    </row>
    <row r="14">
      <c r="A14" t="n">
        <v>1013</v>
      </c>
      <c r="B14" s="2" t="inlineStr">
        <is>
          <t>2026-09</t>
        </is>
      </c>
      <c r="C14" t="inlineStr">
        <is>
          <t>Harsh</t>
        </is>
      </c>
      <c r="D14" t="inlineStr">
        <is>
          <t>Chopra</t>
        </is>
      </c>
      <c r="E14" t="inlineStr">
        <is>
          <t>East</t>
        </is>
      </c>
      <c r="F14" t="inlineStr">
        <is>
          <t>Sanjay Roy</t>
        </is>
      </c>
      <c r="G14" t="inlineStr">
        <is>
          <t>Smart Watch</t>
        </is>
      </c>
      <c r="H14" t="n">
        <v>2</v>
      </c>
      <c r="I14" s="3" t="n">
        <v>9000</v>
      </c>
      <c r="J14" t="inlineStr">
        <is>
          <t>disputed</t>
        </is>
      </c>
      <c r="K14">
        <f>PROPER(TRIM(C14))</f>
        <v/>
      </c>
      <c r="L14">
        <f>PROPER(TRIM(D14))</f>
        <v/>
      </c>
      <c r="M14">
        <f>VLOOKUP(G14,products!$A$2:$C$10,2,FALSE)</f>
        <v/>
      </c>
      <c r="N14" s="3">
        <f>XLOOKUP(G14,products!$A$2:$A$10,products!$C$2:$C$10,"UNKNOWN_ITEM")</f>
        <v/>
      </c>
      <c r="O14" s="3">
        <f>N14*H14</f>
        <v/>
      </c>
    </row>
    <row r="15">
      <c r="A15" t="n">
        <v>1014</v>
      </c>
      <c r="B15" s="2" t="inlineStr">
        <is>
          <t>2026-09</t>
        </is>
      </c>
      <c r="C15" t="inlineStr">
        <is>
          <t xml:space="preserve">Aditya </t>
        </is>
      </c>
      <c r="D15" t="inlineStr">
        <is>
          <t>Rao</t>
        </is>
      </c>
      <c r="E15" t="inlineStr">
        <is>
          <t>East</t>
        </is>
      </c>
      <c r="F15" t="inlineStr">
        <is>
          <t>Sanjay Roy</t>
        </is>
      </c>
      <c r="G15" t="inlineStr">
        <is>
          <t>Smart Watch</t>
        </is>
      </c>
      <c r="H15" t="n">
        <v>1</v>
      </c>
      <c r="I15" s="3" t="n">
        <v>4500</v>
      </c>
      <c r="J15" t="inlineStr">
        <is>
          <t>completed</t>
        </is>
      </c>
      <c r="K15">
        <f>PROPER(TRIM(C15))</f>
        <v/>
      </c>
      <c r="L15">
        <f>PROPER(TRIM(D15))</f>
        <v/>
      </c>
      <c r="M15">
        <f>VLOOKUP(G15,products!$A$2:$C$10,2,FALSE)</f>
        <v/>
      </c>
      <c r="N15" s="3">
        <f>XLOOKUP(G15,products!$A$2:$A$10,products!$C$2:$C$10,"UNKNOWN_ITEM")</f>
        <v/>
      </c>
      <c r="O15" s="3">
        <f>N15*H15</f>
        <v/>
      </c>
    </row>
    <row r="16">
      <c r="A16" t="n">
        <v>1015</v>
      </c>
      <c r="B16" s="2" t="inlineStr">
        <is>
          <t>2026-09</t>
        </is>
      </c>
      <c r="C16" t="inlineStr">
        <is>
          <t>Lakshmi</t>
        </is>
      </c>
      <c r="D16" t="inlineStr">
        <is>
          <t>Kapoor</t>
        </is>
      </c>
      <c r="E16" t="inlineStr">
        <is>
          <t>South</t>
        </is>
      </c>
      <c r="F16" t="inlineStr">
        <is>
          <t>Kavya Nair</t>
        </is>
      </c>
      <c r="G16" t="inlineStr">
        <is>
          <t>Smart Watch</t>
        </is>
      </c>
      <c r="H16" t="n">
        <v>2</v>
      </c>
      <c r="I16" s="3" t="n">
        <v>9000</v>
      </c>
      <c r="J16" t="inlineStr">
        <is>
          <t>completed</t>
        </is>
      </c>
      <c r="K16">
        <f>PROPER(TRIM(C16))</f>
        <v/>
      </c>
      <c r="L16">
        <f>PROPER(TRIM(D16))</f>
        <v/>
      </c>
      <c r="M16">
        <f>VLOOKUP(G16,products!$A$2:$C$10,2,FALSE)</f>
        <v/>
      </c>
      <c r="N16" s="3">
        <f>XLOOKUP(G16,products!$A$2:$A$10,products!$C$2:$C$10,"UNKNOWN_ITEM")</f>
        <v/>
      </c>
      <c r="O16" s="3">
        <f>N16*H16</f>
        <v/>
      </c>
    </row>
    <row r="17">
      <c r="A17" t="n">
        <v>1016</v>
      </c>
      <c r="B17" s="2" t="inlineStr">
        <is>
          <t>2026-09</t>
        </is>
      </c>
      <c r="C17" t="inlineStr">
        <is>
          <t>Pooja</t>
        </is>
      </c>
      <c r="D17" t="inlineStr">
        <is>
          <t>Menon</t>
        </is>
      </c>
      <c r="E17" t="inlineStr">
        <is>
          <t>West</t>
        </is>
      </c>
      <c r="F17" t="inlineStr">
        <is>
          <t>Neha Kulkarni</t>
        </is>
      </c>
      <c r="G17" t="inlineStr">
        <is>
          <t>Denim Jacket</t>
        </is>
      </c>
      <c r="H17" t="n">
        <v>3</v>
      </c>
      <c r="I17" s="3" t="n">
        <v>7500</v>
      </c>
      <c r="J17" t="inlineStr">
        <is>
          <t>completed</t>
        </is>
      </c>
      <c r="K17">
        <f>PROPER(TRIM(C17))</f>
        <v/>
      </c>
      <c r="L17">
        <f>PROPER(TRIM(D17))</f>
        <v/>
      </c>
      <c r="M17">
        <f>VLOOKUP(G17,products!$A$2:$C$10,2,FALSE)</f>
        <v/>
      </c>
      <c r="N17" s="3">
        <f>XLOOKUP(G17,products!$A$2:$A$10,products!$C$2:$C$10,"UNKNOWN_ITEM")</f>
        <v/>
      </c>
      <c r="O17" s="3">
        <f>N17*H17</f>
        <v/>
      </c>
    </row>
    <row r="18">
      <c r="A18" t="n">
        <v>1017</v>
      </c>
      <c r="B18" s="2" t="inlineStr">
        <is>
          <t>2026-09</t>
        </is>
      </c>
      <c r="C18" t="inlineStr">
        <is>
          <t xml:space="preserve">  Vikram</t>
        </is>
      </c>
      <c r="D18" t="inlineStr">
        <is>
          <t xml:space="preserve">Singh </t>
        </is>
      </c>
      <c r="E18" t="inlineStr">
        <is>
          <t>North</t>
        </is>
      </c>
      <c r="F18" t="inlineStr">
        <is>
          <t>Arjun Mehta</t>
        </is>
      </c>
      <c r="G18" t="inlineStr">
        <is>
          <t>Wireless Earbuds</t>
        </is>
      </c>
      <c r="H18" t="n">
        <v>1</v>
      </c>
      <c r="I18" s="3" t="n">
        <v>3200</v>
      </c>
      <c r="J18" t="inlineStr">
        <is>
          <t>completed</t>
        </is>
      </c>
      <c r="K18">
        <f>PROPER(TRIM(C18))</f>
        <v/>
      </c>
      <c r="L18">
        <f>PROPER(TRIM(D18))</f>
        <v/>
      </c>
      <c r="M18">
        <f>VLOOKUP(G18,products!$A$2:$C$10,2,FALSE)</f>
        <v/>
      </c>
      <c r="N18" s="3">
        <f>XLOOKUP(G18,products!$A$2:$A$10,products!$C$2:$C$10,"UNKNOWN_ITEM")</f>
        <v/>
      </c>
      <c r="O18" s="3">
        <f>N18*H18</f>
        <v/>
      </c>
    </row>
    <row r="19">
      <c r="A19" t="n">
        <v>1018</v>
      </c>
      <c r="B19" s="2" t="inlineStr">
        <is>
          <t>2026-09</t>
        </is>
      </c>
      <c r="C19" t="inlineStr">
        <is>
          <t>Manoj</t>
        </is>
      </c>
      <c r="D19" t="inlineStr">
        <is>
          <t>Desai</t>
        </is>
      </c>
      <c r="E19" t="inlineStr">
        <is>
          <t>North</t>
        </is>
      </c>
      <c r="F19" t="inlineStr">
        <is>
          <t>Arjun Mehta</t>
        </is>
      </c>
      <c r="G19" t="inlineStr">
        <is>
          <t>Bedsheet Set</t>
        </is>
      </c>
      <c r="H19" t="n">
        <v>2</v>
      </c>
      <c r="I19" s="3" t="n">
        <v>3800</v>
      </c>
      <c r="J19" t="inlineStr">
        <is>
          <t>completed</t>
        </is>
      </c>
      <c r="K19">
        <f>PROPER(TRIM(C19))</f>
        <v/>
      </c>
      <c r="L19">
        <f>PROPER(TRIM(D19))</f>
        <v/>
      </c>
      <c r="M19">
        <f>VLOOKUP(G19,products!$A$2:$C$10,2,FALSE)</f>
        <v/>
      </c>
      <c r="N19" s="3">
        <f>XLOOKUP(G19,products!$A$2:$A$10,products!$C$2:$C$10,"UNKNOWN_ITEM")</f>
        <v/>
      </c>
      <c r="O19" s="3">
        <f>N19*H19</f>
        <v/>
      </c>
    </row>
    <row r="20">
      <c r="A20" t="n">
        <v>1019</v>
      </c>
      <c r="B20" s="2" t="inlineStr">
        <is>
          <t>2026-09</t>
        </is>
      </c>
      <c r="C20" t="inlineStr">
        <is>
          <t xml:space="preserve">  Vikram</t>
        </is>
      </c>
      <c r="D20" t="inlineStr">
        <is>
          <t xml:space="preserve">Singh </t>
        </is>
      </c>
      <c r="E20" t="inlineStr">
        <is>
          <t>North</t>
        </is>
      </c>
      <c r="F20" t="inlineStr">
        <is>
          <t>Arjun Mehta</t>
        </is>
      </c>
      <c r="G20" t="inlineStr">
        <is>
          <t>Running Shoes</t>
        </is>
      </c>
      <c r="H20" t="n">
        <v>2</v>
      </c>
      <c r="I20" s="3" t="n">
        <v>7200</v>
      </c>
      <c r="J20" t="inlineStr">
        <is>
          <t>completed</t>
        </is>
      </c>
      <c r="K20">
        <f>PROPER(TRIM(C20))</f>
        <v/>
      </c>
      <c r="L20">
        <f>PROPER(TRIM(D20))</f>
        <v/>
      </c>
      <c r="M20">
        <f>VLOOKUP(G20,products!$A$2:$C$10,2,FALSE)</f>
        <v/>
      </c>
      <c r="N20" s="3">
        <f>XLOOKUP(G20,products!$A$2:$A$10,products!$C$2:$C$10,"UNKNOWN_ITEM")</f>
        <v/>
      </c>
      <c r="O20" s="3">
        <f>N20*H20</f>
        <v/>
      </c>
    </row>
    <row r="21">
      <c r="A21" t="n">
        <v>1020</v>
      </c>
      <c r="B21" s="2" t="inlineStr">
        <is>
          <t>2026-09</t>
        </is>
      </c>
      <c r="C21" t="inlineStr">
        <is>
          <t>Tanvi</t>
        </is>
      </c>
      <c r="D21" t="inlineStr">
        <is>
          <t>Thakur</t>
        </is>
      </c>
      <c r="E21" t="inlineStr">
        <is>
          <t>South</t>
        </is>
      </c>
      <c r="F21" t="inlineStr">
        <is>
          <t>Kavya Nair</t>
        </is>
      </c>
      <c r="G21" t="inlineStr">
        <is>
          <t>Wireless Earbuds</t>
        </is>
      </c>
      <c r="H21" t="n">
        <v>2</v>
      </c>
      <c r="I21" s="3" t="n">
        <v>6400</v>
      </c>
      <c r="J21" t="inlineStr">
        <is>
          <t>completed</t>
        </is>
      </c>
      <c r="K21">
        <f>PROPER(TRIM(C21))</f>
        <v/>
      </c>
      <c r="L21">
        <f>PROPER(TRIM(D21))</f>
        <v/>
      </c>
      <c r="M21">
        <f>VLOOKUP(G21,products!$A$2:$C$10,2,FALSE)</f>
        <v/>
      </c>
      <c r="N21" s="3">
        <f>XLOOKUP(G21,products!$A$2:$A$10,products!$C$2:$C$10,"UNKNOWN_ITEM")</f>
        <v/>
      </c>
      <c r="O21" s="3">
        <f>N21*H21</f>
        <v/>
      </c>
    </row>
    <row r="22">
      <c r="A22" t="n">
        <v>1021</v>
      </c>
      <c r="B22" s="2" t="inlineStr">
        <is>
          <t>2026-09</t>
        </is>
      </c>
      <c r="C22" t="inlineStr">
        <is>
          <t>Manoj</t>
        </is>
      </c>
      <c r="D22" t="inlineStr">
        <is>
          <t>Desai</t>
        </is>
      </c>
      <c r="E22" t="inlineStr">
        <is>
          <t>North</t>
        </is>
      </c>
      <c r="F22" t="inlineStr">
        <is>
          <t>Arjun Mehta</t>
        </is>
      </c>
      <c r="G22" t="inlineStr">
        <is>
          <t>Air Fryer</t>
        </is>
      </c>
      <c r="H22" t="n">
        <v>2</v>
      </c>
      <c r="I22" s="3" t="n">
        <v>10400</v>
      </c>
      <c r="J22" t="inlineStr">
        <is>
          <t>completed</t>
        </is>
      </c>
      <c r="K22">
        <f>PROPER(TRIM(C22))</f>
        <v/>
      </c>
      <c r="L22">
        <f>PROPER(TRIM(D22))</f>
        <v/>
      </c>
      <c r="M22">
        <f>VLOOKUP(G22,products!$A$2:$C$10,2,FALSE)</f>
        <v/>
      </c>
      <c r="N22" s="3">
        <f>XLOOKUP(G22,products!$A$2:$A$10,products!$C$2:$C$10,"UNKNOWN_ITEM")</f>
        <v/>
      </c>
      <c r="O22" s="3">
        <f>N22*H22</f>
        <v/>
      </c>
    </row>
    <row r="23">
      <c r="A23" t="n">
        <v>1022</v>
      </c>
      <c r="B23" s="2" t="inlineStr">
        <is>
          <t>2026-09</t>
        </is>
      </c>
      <c r="C23" t="inlineStr">
        <is>
          <t xml:space="preserve">  Vikram</t>
        </is>
      </c>
      <c r="D23" t="inlineStr">
        <is>
          <t xml:space="preserve">Singh </t>
        </is>
      </c>
      <c r="E23" t="inlineStr">
        <is>
          <t>North</t>
        </is>
      </c>
      <c r="F23" t="inlineStr">
        <is>
          <t>Arjun Mehta</t>
        </is>
      </c>
      <c r="G23" t="inlineStr">
        <is>
          <t>Air Fryer</t>
        </is>
      </c>
      <c r="H23" t="n">
        <v>2</v>
      </c>
      <c r="I23" s="3" t="n">
        <v>10400</v>
      </c>
      <c r="J23" t="inlineStr">
        <is>
          <t>completed</t>
        </is>
      </c>
      <c r="K23">
        <f>PROPER(TRIM(C23))</f>
        <v/>
      </c>
      <c r="L23">
        <f>PROPER(TRIM(D23))</f>
        <v/>
      </c>
      <c r="M23">
        <f>VLOOKUP(G23,products!$A$2:$C$10,2,FALSE)</f>
        <v/>
      </c>
      <c r="N23" s="3">
        <f>XLOOKUP(G23,products!$A$2:$A$10,products!$C$2:$C$10,"UNKNOWN_ITEM")</f>
        <v/>
      </c>
      <c r="O23" s="3">
        <f>N23*H23</f>
        <v/>
      </c>
    </row>
    <row r="24">
      <c r="A24" t="n">
        <v>1023</v>
      </c>
      <c r="B24" s="2" t="inlineStr">
        <is>
          <t>2026-09</t>
        </is>
      </c>
      <c r="C24" t="inlineStr">
        <is>
          <t>Manoj</t>
        </is>
      </c>
      <c r="D24" t="inlineStr">
        <is>
          <t>Desai</t>
        </is>
      </c>
      <c r="E24" t="inlineStr">
        <is>
          <t>North</t>
        </is>
      </c>
      <c r="F24" t="inlineStr">
        <is>
          <t>Arjun Mehta</t>
        </is>
      </c>
      <c r="G24" t="inlineStr">
        <is>
          <t>Running Shoes</t>
        </is>
      </c>
      <c r="H24" t="n">
        <v>1</v>
      </c>
      <c r="I24" s="3" t="n">
        <v>3600</v>
      </c>
      <c r="J24" t="inlineStr">
        <is>
          <t>completed</t>
        </is>
      </c>
      <c r="K24">
        <f>PROPER(TRIM(C24))</f>
        <v/>
      </c>
      <c r="L24">
        <f>PROPER(TRIM(D24))</f>
        <v/>
      </c>
      <c r="M24">
        <f>VLOOKUP(G24,products!$A$2:$C$10,2,FALSE)</f>
        <v/>
      </c>
      <c r="N24" s="3">
        <f>XLOOKUP(G24,products!$A$2:$A$10,products!$C$2:$C$10,"UNKNOWN_ITEM")</f>
        <v/>
      </c>
      <c r="O24" s="3">
        <f>N24*H24</f>
        <v/>
      </c>
    </row>
    <row r="25">
      <c r="A25" t="n">
        <v>1024</v>
      </c>
      <c r="B25" s="2" t="inlineStr">
        <is>
          <t>2026-09</t>
        </is>
      </c>
      <c r="C25" t="inlineStr">
        <is>
          <t>Priya</t>
        </is>
      </c>
      <c r="D25" t="inlineStr">
        <is>
          <t>iyer</t>
        </is>
      </c>
      <c r="E25" t="inlineStr">
        <is>
          <t>South</t>
        </is>
      </c>
      <c r="F25" t="inlineStr">
        <is>
          <t>Kavya Nair</t>
        </is>
      </c>
      <c r="G25" t="inlineStr">
        <is>
          <t>Cotton Kurta</t>
        </is>
      </c>
      <c r="H25" t="n">
        <v>1</v>
      </c>
      <c r="I25" s="3" t="n">
        <v>1400</v>
      </c>
      <c r="J25" t="inlineStr">
        <is>
          <t>completed</t>
        </is>
      </c>
      <c r="K25">
        <f>PROPER(TRIM(C25))</f>
        <v/>
      </c>
      <c r="L25">
        <f>PROPER(TRIM(D25))</f>
        <v/>
      </c>
      <c r="M25">
        <f>VLOOKUP(G25,products!$A$2:$C$10,2,FALSE)</f>
        <v/>
      </c>
      <c r="N25" s="3">
        <f>XLOOKUP(G25,products!$A$2:$A$10,products!$C$2:$C$10,"UNKNOWN_ITEM")</f>
        <v/>
      </c>
      <c r="O25" s="3">
        <f>N25*H25</f>
        <v/>
      </c>
    </row>
    <row r="26">
      <c r="A26" t="n">
        <v>1025</v>
      </c>
      <c r="B26" s="2" t="inlineStr">
        <is>
          <t>2026-09</t>
        </is>
      </c>
      <c r="C26" t="inlineStr">
        <is>
          <t>Divya</t>
        </is>
      </c>
      <c r="D26" t="inlineStr">
        <is>
          <t>Gupta</t>
        </is>
      </c>
      <c r="E26" t="inlineStr">
        <is>
          <t>West</t>
        </is>
      </c>
      <c r="F26" t="inlineStr">
        <is>
          <t>Neha Kulkarni</t>
        </is>
      </c>
      <c r="G26" t="inlineStr">
        <is>
          <t>Table Lamp</t>
        </is>
      </c>
      <c r="H26" t="n">
        <v>1</v>
      </c>
      <c r="I26" s="3" t="n">
        <v>1100</v>
      </c>
      <c r="J26" t="inlineStr">
        <is>
          <t>completed</t>
        </is>
      </c>
      <c r="K26">
        <f>PROPER(TRIM(C26))</f>
        <v/>
      </c>
      <c r="L26">
        <f>PROPER(TRIM(D26))</f>
        <v/>
      </c>
      <c r="M26">
        <f>VLOOKUP(G26,products!$A$2:$C$10,2,FALSE)</f>
        <v/>
      </c>
      <c r="N26" s="3">
        <f>XLOOKUP(G26,products!$A$2:$A$10,products!$C$2:$C$10,"UNKNOWN_ITEM")</f>
        <v/>
      </c>
      <c r="O26" s="3">
        <f>N26*H26</f>
        <v/>
      </c>
    </row>
    <row r="27">
      <c r="A27" t="n">
        <v>1026</v>
      </c>
      <c r="B27" s="2" t="inlineStr">
        <is>
          <t>2026-09</t>
        </is>
      </c>
      <c r="C27" t="inlineStr">
        <is>
          <t xml:space="preserve">  Vikram</t>
        </is>
      </c>
      <c r="D27" t="inlineStr">
        <is>
          <t xml:space="preserve">Singh </t>
        </is>
      </c>
      <c r="E27" t="inlineStr">
        <is>
          <t>North</t>
        </is>
      </c>
      <c r="F27" t="inlineStr">
        <is>
          <t>Arjun Mehta</t>
        </is>
      </c>
      <c r="G27" t="inlineStr">
        <is>
          <t>Cotton Kurta</t>
        </is>
      </c>
      <c r="H27" t="n">
        <v>1</v>
      </c>
      <c r="I27" s="3" t="n">
        <v>1400</v>
      </c>
      <c r="J27" t="inlineStr">
        <is>
          <t>completed</t>
        </is>
      </c>
      <c r="K27">
        <f>PROPER(TRIM(C27))</f>
        <v/>
      </c>
      <c r="L27">
        <f>PROPER(TRIM(D27))</f>
        <v/>
      </c>
      <c r="M27">
        <f>VLOOKUP(G27,products!$A$2:$C$10,2,FALSE)</f>
        <v/>
      </c>
      <c r="N27" s="3">
        <f>XLOOKUP(G27,products!$A$2:$A$10,products!$C$2:$C$10,"UNKNOWN_ITEM")</f>
        <v/>
      </c>
      <c r="O27" s="3">
        <f>N27*H27</f>
        <v/>
      </c>
    </row>
    <row r="28">
      <c r="A28" t="n">
        <v>1027</v>
      </c>
      <c r="B28" s="2" t="inlineStr">
        <is>
          <t>2026-10</t>
        </is>
      </c>
      <c r="C28" t="inlineStr">
        <is>
          <t>aarav</t>
        </is>
      </c>
      <c r="D28" t="inlineStr">
        <is>
          <t>Sharma</t>
        </is>
      </c>
      <c r="E28" t="inlineStr">
        <is>
          <t>North</t>
        </is>
      </c>
      <c r="F28" t="inlineStr">
        <is>
          <t>Arjun Mehta</t>
        </is>
      </c>
      <c r="G28" t="inlineStr">
        <is>
          <t>Smart Watch</t>
        </is>
      </c>
      <c r="H28" t="n">
        <v>1</v>
      </c>
      <c r="I28" s="3" t="n">
        <v>4500</v>
      </c>
      <c r="J28" t="inlineStr">
        <is>
          <t>completed</t>
        </is>
      </c>
      <c r="K28">
        <f>PROPER(TRIM(C28))</f>
        <v/>
      </c>
      <c r="L28">
        <f>PROPER(TRIM(D28))</f>
        <v/>
      </c>
      <c r="M28">
        <f>VLOOKUP(G28,products!$A$2:$C$10,2,FALSE)</f>
        <v/>
      </c>
      <c r="N28" s="3">
        <f>XLOOKUP(G28,products!$A$2:$A$10,products!$C$2:$C$10,"UNKNOWN_ITEM")</f>
        <v/>
      </c>
      <c r="O28" s="3">
        <f>N28*H28</f>
        <v/>
      </c>
    </row>
    <row r="29">
      <c r="A29" t="n">
        <v>1028</v>
      </c>
      <c r="B29" s="2" t="inlineStr">
        <is>
          <t>2026-10</t>
        </is>
      </c>
      <c r="C29" t="inlineStr">
        <is>
          <t>Swati</t>
        </is>
      </c>
      <c r="D29" t="inlineStr">
        <is>
          <t>Banerjee</t>
        </is>
      </c>
      <c r="E29" t="inlineStr">
        <is>
          <t>South</t>
        </is>
      </c>
      <c r="F29" t="inlineStr">
        <is>
          <t>Kavya Nair</t>
        </is>
      </c>
      <c r="G29" t="inlineStr">
        <is>
          <t>Wireless Earbuds</t>
        </is>
      </c>
      <c r="H29" t="n">
        <v>1</v>
      </c>
      <c r="I29" s="3" t="n">
        <v>3200</v>
      </c>
      <c r="J29" t="inlineStr">
        <is>
          <t>completed</t>
        </is>
      </c>
      <c r="K29">
        <f>PROPER(TRIM(C29))</f>
        <v/>
      </c>
      <c r="L29">
        <f>PROPER(TRIM(D29))</f>
        <v/>
      </c>
      <c r="M29">
        <f>VLOOKUP(G29,products!$A$2:$C$10,2,FALSE)</f>
        <v/>
      </c>
      <c r="N29" s="3">
        <f>XLOOKUP(G29,products!$A$2:$A$10,products!$C$2:$C$10,"UNKNOWN_ITEM")</f>
        <v/>
      </c>
      <c r="O29" s="3">
        <f>N29*H29</f>
        <v/>
      </c>
    </row>
    <row r="30">
      <c r="A30" t="n">
        <v>1029</v>
      </c>
      <c r="B30" s="2" t="inlineStr">
        <is>
          <t>2026-10</t>
        </is>
      </c>
      <c r="C30" t="inlineStr">
        <is>
          <t xml:space="preserve">Aditya </t>
        </is>
      </c>
      <c r="D30" t="inlineStr">
        <is>
          <t>Rao</t>
        </is>
      </c>
      <c r="E30" t="inlineStr">
        <is>
          <t>East</t>
        </is>
      </c>
      <c r="F30" t="inlineStr">
        <is>
          <t>Sanjay Roy</t>
        </is>
      </c>
      <c r="G30" t="inlineStr">
        <is>
          <t>Denim Jacket</t>
        </is>
      </c>
      <c r="H30" t="n">
        <v>2</v>
      </c>
      <c r="I30" s="3" t="n">
        <v>5000</v>
      </c>
      <c r="J30" t="inlineStr">
        <is>
          <t>completed</t>
        </is>
      </c>
      <c r="K30">
        <f>PROPER(TRIM(C30))</f>
        <v/>
      </c>
      <c r="L30">
        <f>PROPER(TRIM(D30))</f>
        <v/>
      </c>
      <c r="M30">
        <f>VLOOKUP(G30,products!$A$2:$C$10,2,FALSE)</f>
        <v/>
      </c>
      <c r="N30" s="3">
        <f>XLOOKUP(G30,products!$A$2:$A$10,products!$C$2:$C$10,"UNKNOWN_ITEM")</f>
        <v/>
      </c>
      <c r="O30" s="3">
        <f>N30*H30</f>
        <v/>
      </c>
    </row>
    <row r="31">
      <c r="A31" t="n">
        <v>1030</v>
      </c>
      <c r="B31" s="2" t="inlineStr">
        <is>
          <t>2026-10</t>
        </is>
      </c>
      <c r="C31" t="inlineStr">
        <is>
          <t>Lakshmi</t>
        </is>
      </c>
      <c r="D31" t="inlineStr">
        <is>
          <t>Kapoor</t>
        </is>
      </c>
      <c r="E31" t="inlineStr">
        <is>
          <t>South</t>
        </is>
      </c>
      <c r="F31" t="inlineStr">
        <is>
          <t>Kavya Nair</t>
        </is>
      </c>
      <c r="G31" t="inlineStr">
        <is>
          <t>Denim Jacket</t>
        </is>
      </c>
      <c r="H31" t="n">
        <v>2</v>
      </c>
      <c r="I31" s="3" t="n">
        <v>5000</v>
      </c>
      <c r="J31" t="inlineStr">
        <is>
          <t>completed</t>
        </is>
      </c>
      <c r="K31">
        <f>PROPER(TRIM(C31))</f>
        <v/>
      </c>
      <c r="L31">
        <f>PROPER(TRIM(D31))</f>
        <v/>
      </c>
      <c r="M31">
        <f>VLOOKUP(G31,products!$A$2:$C$10,2,FALSE)</f>
        <v/>
      </c>
      <c r="N31" s="3">
        <f>XLOOKUP(G31,products!$A$2:$A$10,products!$C$2:$C$10,"UNKNOWN_ITEM")</f>
        <v/>
      </c>
      <c r="O31" s="3">
        <f>N31*H31</f>
        <v/>
      </c>
    </row>
    <row r="32">
      <c r="A32" t="n">
        <v>1031</v>
      </c>
      <c r="B32" s="2" t="inlineStr">
        <is>
          <t>2026-10</t>
        </is>
      </c>
      <c r="C32" t="inlineStr">
        <is>
          <t xml:space="preserve">  Isha</t>
        </is>
      </c>
      <c r="D32" t="inlineStr">
        <is>
          <t>Pillai</t>
        </is>
      </c>
      <c r="E32" t="inlineStr">
        <is>
          <t>West</t>
        </is>
      </c>
      <c r="F32" t="inlineStr">
        <is>
          <t>Neha Kulkarni</t>
        </is>
      </c>
      <c r="G32" t="inlineStr">
        <is>
          <t>Denim Jacket</t>
        </is>
      </c>
      <c r="H32" t="n">
        <v>2</v>
      </c>
      <c r="I32" s="3" t="n">
        <v>5000</v>
      </c>
      <c r="J32" t="inlineStr">
        <is>
          <t>disputed</t>
        </is>
      </c>
      <c r="K32">
        <f>PROPER(TRIM(C32))</f>
        <v/>
      </c>
      <c r="L32">
        <f>PROPER(TRIM(D32))</f>
        <v/>
      </c>
      <c r="M32">
        <f>VLOOKUP(G32,products!$A$2:$C$10,2,FALSE)</f>
        <v/>
      </c>
      <c r="N32" s="3">
        <f>XLOOKUP(G32,products!$A$2:$A$10,products!$C$2:$C$10,"UNKNOWN_ITEM")</f>
        <v/>
      </c>
      <c r="O32" s="3">
        <f>N32*H32</f>
        <v/>
      </c>
    </row>
    <row r="33">
      <c r="A33" t="n">
        <v>1032</v>
      </c>
      <c r="B33" s="2" t="inlineStr">
        <is>
          <t>2026-10</t>
        </is>
      </c>
      <c r="C33" t="inlineStr">
        <is>
          <t xml:space="preserve">karthik </t>
        </is>
      </c>
      <c r="D33" t="inlineStr">
        <is>
          <t>nair</t>
        </is>
      </c>
      <c r="E33" t="inlineStr">
        <is>
          <t>East</t>
        </is>
      </c>
      <c r="F33" t="inlineStr">
        <is>
          <t>Sanjay Roy</t>
        </is>
      </c>
      <c r="G33" t="inlineStr">
        <is>
          <t>Table Lamp</t>
        </is>
      </c>
      <c r="H33" t="n">
        <v>2</v>
      </c>
      <c r="I33" s="3" t="n">
        <v>2200</v>
      </c>
      <c r="J33" t="inlineStr">
        <is>
          <t>completed</t>
        </is>
      </c>
      <c r="K33">
        <f>PROPER(TRIM(C33))</f>
        <v/>
      </c>
      <c r="L33">
        <f>PROPER(TRIM(D33))</f>
        <v/>
      </c>
      <c r="M33">
        <f>VLOOKUP(G33,products!$A$2:$C$10,2,FALSE)</f>
        <v/>
      </c>
      <c r="N33" s="3">
        <f>XLOOKUP(G33,products!$A$2:$A$10,products!$C$2:$C$10,"UNKNOWN_ITEM")</f>
        <v/>
      </c>
      <c r="O33" s="3">
        <f>N33*H33</f>
        <v/>
      </c>
    </row>
    <row r="34">
      <c r="A34" t="n">
        <v>1033</v>
      </c>
      <c r="B34" s="2" t="inlineStr">
        <is>
          <t>2026-10</t>
        </is>
      </c>
      <c r="C34" t="inlineStr">
        <is>
          <t>Swati</t>
        </is>
      </c>
      <c r="D34" t="inlineStr">
        <is>
          <t>Banerjee</t>
        </is>
      </c>
      <c r="E34" t="inlineStr">
        <is>
          <t>South</t>
        </is>
      </c>
      <c r="F34" t="inlineStr">
        <is>
          <t>Kavya Nair</t>
        </is>
      </c>
      <c r="G34" t="inlineStr">
        <is>
          <t>Denim Jacket</t>
        </is>
      </c>
      <c r="H34" t="n">
        <v>1</v>
      </c>
      <c r="I34" s="3" t="n">
        <v>2500</v>
      </c>
      <c r="J34" t="inlineStr">
        <is>
          <t>pending</t>
        </is>
      </c>
      <c r="K34">
        <f>PROPER(TRIM(C34))</f>
        <v/>
      </c>
      <c r="L34">
        <f>PROPER(TRIM(D34))</f>
        <v/>
      </c>
      <c r="M34">
        <f>VLOOKUP(G34,products!$A$2:$C$10,2,FALSE)</f>
        <v/>
      </c>
      <c r="N34" s="3">
        <f>XLOOKUP(G34,products!$A$2:$A$10,products!$C$2:$C$10,"UNKNOWN_ITEM")</f>
        <v/>
      </c>
      <c r="O34" s="3">
        <f>N34*H34</f>
        <v/>
      </c>
    </row>
    <row r="35">
      <c r="A35" t="n">
        <v>1034</v>
      </c>
      <c r="B35" s="2" t="inlineStr">
        <is>
          <t>2026-10</t>
        </is>
      </c>
      <c r="C35" t="inlineStr">
        <is>
          <t>Divya</t>
        </is>
      </c>
      <c r="D35" t="inlineStr">
        <is>
          <t>Gupta</t>
        </is>
      </c>
      <c r="E35" t="inlineStr">
        <is>
          <t>West</t>
        </is>
      </c>
      <c r="F35" t="inlineStr">
        <is>
          <t>Neha Kulkarni</t>
        </is>
      </c>
      <c r="G35" t="inlineStr">
        <is>
          <t>Running Shoes</t>
        </is>
      </c>
      <c r="H35" t="n">
        <v>2</v>
      </c>
      <c r="I35" s="3" t="n">
        <v>7200</v>
      </c>
      <c r="J35" t="inlineStr">
        <is>
          <t>completed</t>
        </is>
      </c>
      <c r="K35">
        <f>PROPER(TRIM(C35))</f>
        <v/>
      </c>
      <c r="L35">
        <f>PROPER(TRIM(D35))</f>
        <v/>
      </c>
      <c r="M35">
        <f>VLOOKUP(G35,products!$A$2:$C$10,2,FALSE)</f>
        <v/>
      </c>
      <c r="N35" s="3">
        <f>XLOOKUP(G35,products!$A$2:$A$10,products!$C$2:$C$10,"UNKNOWN_ITEM")</f>
        <v/>
      </c>
      <c r="O35" s="3">
        <f>N35*H35</f>
        <v/>
      </c>
    </row>
    <row r="36">
      <c r="A36" t="n">
        <v>1035</v>
      </c>
      <c r="B36" s="2" t="inlineStr">
        <is>
          <t>2026-10</t>
        </is>
      </c>
      <c r="C36" t="inlineStr">
        <is>
          <t xml:space="preserve">  Vikram</t>
        </is>
      </c>
      <c r="D36" t="inlineStr">
        <is>
          <t xml:space="preserve">Singh </t>
        </is>
      </c>
      <c r="E36" t="inlineStr">
        <is>
          <t>North</t>
        </is>
      </c>
      <c r="F36" t="inlineStr">
        <is>
          <t>Arjun Mehta</t>
        </is>
      </c>
      <c r="G36" t="inlineStr">
        <is>
          <t>Bluetooth Speaker</t>
        </is>
      </c>
      <c r="H36" t="n">
        <v>1</v>
      </c>
      <c r="I36" s="3" t="n">
        <v>2800</v>
      </c>
      <c r="J36" t="inlineStr">
        <is>
          <t>pending</t>
        </is>
      </c>
      <c r="K36">
        <f>PROPER(TRIM(C36))</f>
        <v/>
      </c>
      <c r="L36">
        <f>PROPER(TRIM(D36))</f>
        <v/>
      </c>
      <c r="M36">
        <f>VLOOKUP(G36,products!$A$2:$C$10,2,FALSE)</f>
        <v/>
      </c>
      <c r="N36" s="3">
        <f>XLOOKUP(G36,products!$A$2:$A$10,products!$C$2:$C$10,"UNKNOWN_ITEM")</f>
        <v/>
      </c>
      <c r="O36" s="3">
        <f>N36*H36</f>
        <v/>
      </c>
    </row>
    <row r="37">
      <c r="A37" t="n">
        <v>1036</v>
      </c>
      <c r="B37" s="2" t="inlineStr">
        <is>
          <t>2026-10</t>
        </is>
      </c>
      <c r="C37" t="inlineStr">
        <is>
          <t>Tanvi</t>
        </is>
      </c>
      <c r="D37" t="inlineStr">
        <is>
          <t>Thakur</t>
        </is>
      </c>
      <c r="E37" t="inlineStr">
        <is>
          <t>South</t>
        </is>
      </c>
      <c r="F37" t="inlineStr">
        <is>
          <t>Kavya Nair</t>
        </is>
      </c>
      <c r="G37" t="inlineStr">
        <is>
          <t>Denim Jacket</t>
        </is>
      </c>
      <c r="H37" t="n">
        <v>2</v>
      </c>
      <c r="I37" s="3" t="n">
        <v>5000</v>
      </c>
      <c r="J37" t="inlineStr">
        <is>
          <t>pending</t>
        </is>
      </c>
      <c r="K37">
        <f>PROPER(TRIM(C37))</f>
        <v/>
      </c>
      <c r="L37">
        <f>PROPER(TRIM(D37))</f>
        <v/>
      </c>
      <c r="M37">
        <f>VLOOKUP(G37,products!$A$2:$C$10,2,FALSE)</f>
        <v/>
      </c>
      <c r="N37" s="3">
        <f>XLOOKUP(G37,products!$A$2:$A$10,products!$C$2:$C$10,"UNKNOWN_ITEM")</f>
        <v/>
      </c>
      <c r="O37" s="3">
        <f>N37*H37</f>
        <v/>
      </c>
    </row>
    <row r="38">
      <c r="A38" t="n">
        <v>1037</v>
      </c>
      <c r="B38" s="2" t="inlineStr">
        <is>
          <t>2026-10</t>
        </is>
      </c>
      <c r="C38" t="inlineStr">
        <is>
          <t>RAHUL</t>
        </is>
      </c>
      <c r="D38" t="inlineStr">
        <is>
          <t>VERMA</t>
        </is>
      </c>
      <c r="E38" t="inlineStr">
        <is>
          <t>East</t>
        </is>
      </c>
      <c r="F38" t="inlineStr">
        <is>
          <t>Sanjay Roy</t>
        </is>
      </c>
      <c r="G38" t="inlineStr">
        <is>
          <t>Bedsheet Set</t>
        </is>
      </c>
      <c r="H38" t="n">
        <v>2</v>
      </c>
      <c r="I38" s="3" t="n">
        <v>3800</v>
      </c>
      <c r="J38" t="inlineStr">
        <is>
          <t>pending</t>
        </is>
      </c>
      <c r="K38">
        <f>PROPER(TRIM(C38))</f>
        <v/>
      </c>
      <c r="L38">
        <f>PROPER(TRIM(D38))</f>
        <v/>
      </c>
      <c r="M38">
        <f>VLOOKUP(G38,products!$A$2:$C$10,2,FALSE)</f>
        <v/>
      </c>
      <c r="N38" s="3">
        <f>XLOOKUP(G38,products!$A$2:$A$10,products!$C$2:$C$10,"UNKNOWN_ITEM")</f>
        <v/>
      </c>
      <c r="O38" s="3">
        <f>N38*H38</f>
        <v/>
      </c>
    </row>
    <row r="39">
      <c r="A39" t="n">
        <v>1038</v>
      </c>
      <c r="B39" s="2" t="inlineStr">
        <is>
          <t>2026-10</t>
        </is>
      </c>
      <c r="C39" t="inlineStr">
        <is>
          <t>RAHUL</t>
        </is>
      </c>
      <c r="D39" t="inlineStr">
        <is>
          <t>VERMA</t>
        </is>
      </c>
      <c r="E39" t="inlineStr">
        <is>
          <t>East</t>
        </is>
      </c>
      <c r="F39" t="inlineStr">
        <is>
          <t>Sanjay Roy</t>
        </is>
      </c>
      <c r="G39" t="inlineStr">
        <is>
          <t>Cotton Kurta</t>
        </is>
      </c>
      <c r="H39" t="n">
        <v>2</v>
      </c>
      <c r="I39" s="3" t="n">
        <v>2800</v>
      </c>
      <c r="J39" t="inlineStr">
        <is>
          <t>completed</t>
        </is>
      </c>
      <c r="K39">
        <f>PROPER(TRIM(C39))</f>
        <v/>
      </c>
      <c r="L39">
        <f>PROPER(TRIM(D39))</f>
        <v/>
      </c>
      <c r="M39">
        <f>VLOOKUP(G39,products!$A$2:$C$10,2,FALSE)</f>
        <v/>
      </c>
      <c r="N39" s="3">
        <f>XLOOKUP(G39,products!$A$2:$A$10,products!$C$2:$C$10,"UNKNOWN_ITEM")</f>
        <v/>
      </c>
      <c r="O39" s="3">
        <f>N39*H39</f>
        <v/>
      </c>
    </row>
    <row r="40">
      <c r="A40" t="n">
        <v>1039</v>
      </c>
      <c r="B40" s="2" t="inlineStr">
        <is>
          <t>2026-10</t>
        </is>
      </c>
      <c r="C40" t="inlineStr">
        <is>
          <t>RAHUL</t>
        </is>
      </c>
      <c r="D40" t="inlineStr">
        <is>
          <t>VERMA</t>
        </is>
      </c>
      <c r="E40" t="inlineStr">
        <is>
          <t>East</t>
        </is>
      </c>
      <c r="F40" t="inlineStr">
        <is>
          <t>Sanjay Roy</t>
        </is>
      </c>
      <c r="G40" t="inlineStr">
        <is>
          <t>Table Lamp</t>
        </is>
      </c>
      <c r="H40" t="n">
        <v>2</v>
      </c>
      <c r="I40" s="3" t="n">
        <v>2200</v>
      </c>
      <c r="J40" t="inlineStr">
        <is>
          <t>completed</t>
        </is>
      </c>
      <c r="K40">
        <f>PROPER(TRIM(C40))</f>
        <v/>
      </c>
      <c r="L40">
        <f>PROPER(TRIM(D40))</f>
        <v/>
      </c>
      <c r="M40">
        <f>VLOOKUP(G40,products!$A$2:$C$10,2,FALSE)</f>
        <v/>
      </c>
      <c r="N40" s="3">
        <f>XLOOKUP(G40,products!$A$2:$A$10,products!$C$2:$C$10,"UNKNOWN_ITEM")</f>
        <v/>
      </c>
      <c r="O40" s="3">
        <f>N40*H40</f>
        <v/>
      </c>
    </row>
    <row r="41">
      <c r="A41" t="n">
        <v>1040</v>
      </c>
      <c r="B41" s="2" t="inlineStr">
        <is>
          <t>2026-10</t>
        </is>
      </c>
      <c r="C41" t="inlineStr">
        <is>
          <t>aarav</t>
        </is>
      </c>
      <c r="D41" t="inlineStr">
        <is>
          <t>Sharma</t>
        </is>
      </c>
      <c r="E41" t="inlineStr">
        <is>
          <t>North</t>
        </is>
      </c>
      <c r="F41" t="inlineStr">
        <is>
          <t>Arjun Mehta</t>
        </is>
      </c>
      <c r="G41" t="inlineStr">
        <is>
          <t>Smart Watch</t>
        </is>
      </c>
      <c r="H41" t="n">
        <v>3</v>
      </c>
      <c r="I41" s="3" t="n">
        <v>13500</v>
      </c>
      <c r="J41" t="inlineStr">
        <is>
          <t>completed</t>
        </is>
      </c>
      <c r="K41">
        <f>PROPER(TRIM(C41))</f>
        <v/>
      </c>
      <c r="L41">
        <f>PROPER(TRIM(D41))</f>
        <v/>
      </c>
      <c r="M41">
        <f>VLOOKUP(G41,products!$A$2:$C$10,2,FALSE)</f>
        <v/>
      </c>
      <c r="N41" s="3">
        <f>XLOOKUP(G41,products!$A$2:$A$10,products!$C$2:$C$10,"UNKNOWN_ITEM")</f>
        <v/>
      </c>
      <c r="O41" s="3">
        <f>N41*H41</f>
        <v/>
      </c>
    </row>
    <row r="42">
      <c r="A42" t="n">
        <v>1041</v>
      </c>
      <c r="B42" s="2" t="inlineStr">
        <is>
          <t>2026-10</t>
        </is>
      </c>
      <c r="C42" t="inlineStr">
        <is>
          <t>Divya</t>
        </is>
      </c>
      <c r="D42" t="inlineStr">
        <is>
          <t>Gupta</t>
        </is>
      </c>
      <c r="E42" t="inlineStr">
        <is>
          <t>West</t>
        </is>
      </c>
      <c r="F42" t="inlineStr">
        <is>
          <t>Neha Kulkarni</t>
        </is>
      </c>
      <c r="G42" t="inlineStr">
        <is>
          <t>Bluetooth Speaker</t>
        </is>
      </c>
      <c r="H42" t="n">
        <v>1</v>
      </c>
      <c r="I42" s="3" t="n">
        <v>2800</v>
      </c>
      <c r="J42" t="inlineStr">
        <is>
          <t>completed</t>
        </is>
      </c>
      <c r="K42">
        <f>PROPER(TRIM(C42))</f>
        <v/>
      </c>
      <c r="L42">
        <f>PROPER(TRIM(D42))</f>
        <v/>
      </c>
      <c r="M42">
        <f>VLOOKUP(G42,products!$A$2:$C$10,2,FALSE)</f>
        <v/>
      </c>
      <c r="N42" s="3">
        <f>XLOOKUP(G42,products!$A$2:$A$10,products!$C$2:$C$10,"UNKNOWN_ITEM")</f>
        <v/>
      </c>
      <c r="O42" s="3">
        <f>N42*H42</f>
        <v/>
      </c>
    </row>
    <row r="43">
      <c r="A43" t="n">
        <v>1042</v>
      </c>
      <c r="B43" s="2" t="inlineStr">
        <is>
          <t>2026-10</t>
        </is>
      </c>
      <c r="C43" t="inlineStr">
        <is>
          <t>Lakshmi</t>
        </is>
      </c>
      <c r="D43" t="inlineStr">
        <is>
          <t>Kapoor</t>
        </is>
      </c>
      <c r="E43" t="inlineStr">
        <is>
          <t>South</t>
        </is>
      </c>
      <c r="F43" t="inlineStr">
        <is>
          <t>Kavya Nair</t>
        </is>
      </c>
      <c r="G43" t="inlineStr">
        <is>
          <t>Table Lamp</t>
        </is>
      </c>
      <c r="H43" t="n">
        <v>1</v>
      </c>
      <c r="I43" s="3" t="n">
        <v>1100</v>
      </c>
      <c r="J43" t="inlineStr">
        <is>
          <t>pending</t>
        </is>
      </c>
      <c r="K43">
        <f>PROPER(TRIM(C43))</f>
        <v/>
      </c>
      <c r="L43">
        <f>PROPER(TRIM(D43))</f>
        <v/>
      </c>
      <c r="M43">
        <f>VLOOKUP(G43,products!$A$2:$C$10,2,FALSE)</f>
        <v/>
      </c>
      <c r="N43" s="3">
        <f>XLOOKUP(G43,products!$A$2:$A$10,products!$C$2:$C$10,"UNKNOWN_ITEM")</f>
        <v/>
      </c>
      <c r="O43" s="3">
        <f>N43*H43</f>
        <v/>
      </c>
    </row>
    <row r="44">
      <c r="A44" t="n">
        <v>1043</v>
      </c>
      <c r="B44" s="2" t="inlineStr">
        <is>
          <t>2026-10</t>
        </is>
      </c>
      <c r="C44" t="inlineStr">
        <is>
          <t>Rohit</t>
        </is>
      </c>
      <c r="D44" t="inlineStr">
        <is>
          <t>Khan</t>
        </is>
      </c>
      <c r="E44" t="inlineStr">
        <is>
          <t>North</t>
        </is>
      </c>
      <c r="F44" t="inlineStr">
        <is>
          <t>Arjun Mehta</t>
        </is>
      </c>
      <c r="G44" t="inlineStr">
        <is>
          <t>Bluetooth Speaker</t>
        </is>
      </c>
      <c r="H44" t="n">
        <v>1</v>
      </c>
      <c r="I44" s="3" t="n">
        <v>2800</v>
      </c>
      <c r="J44" t="inlineStr">
        <is>
          <t>completed</t>
        </is>
      </c>
      <c r="K44">
        <f>PROPER(TRIM(C44))</f>
        <v/>
      </c>
      <c r="L44">
        <f>PROPER(TRIM(D44))</f>
        <v/>
      </c>
      <c r="M44">
        <f>VLOOKUP(G44,products!$A$2:$C$10,2,FALSE)</f>
        <v/>
      </c>
      <c r="N44" s="3">
        <f>XLOOKUP(G44,products!$A$2:$A$10,products!$C$2:$C$10,"UNKNOWN_ITEM")</f>
        <v/>
      </c>
      <c r="O44" s="3">
        <f>N44*H44</f>
        <v/>
      </c>
    </row>
    <row r="45">
      <c r="A45" t="n">
        <v>1044</v>
      </c>
      <c r="B45" s="2" t="inlineStr">
        <is>
          <t>2026-10</t>
        </is>
      </c>
      <c r="C45" t="inlineStr">
        <is>
          <t>MEERA</t>
        </is>
      </c>
      <c r="D45" t="inlineStr">
        <is>
          <t xml:space="preserve">  Patil</t>
        </is>
      </c>
      <c r="E45" t="inlineStr">
        <is>
          <t>South</t>
        </is>
      </c>
      <c r="F45" t="inlineStr">
        <is>
          <t>Kavya Nair</t>
        </is>
      </c>
      <c r="G45" t="inlineStr">
        <is>
          <t>Running Shoes</t>
        </is>
      </c>
      <c r="H45" t="n">
        <v>1</v>
      </c>
      <c r="I45" s="3" t="n">
        <v>3600</v>
      </c>
      <c r="J45" t="inlineStr">
        <is>
          <t>pending</t>
        </is>
      </c>
      <c r="K45">
        <f>PROPER(TRIM(C45))</f>
        <v/>
      </c>
      <c r="L45">
        <f>PROPER(TRIM(D45))</f>
        <v/>
      </c>
      <c r="M45">
        <f>VLOOKUP(G45,products!$A$2:$C$10,2,FALSE)</f>
        <v/>
      </c>
      <c r="N45" s="3">
        <f>XLOOKUP(G45,products!$A$2:$A$10,products!$C$2:$C$10,"UNKNOWN_ITEM")</f>
        <v/>
      </c>
      <c r="O45" s="3">
        <f>N45*H45</f>
        <v/>
      </c>
    </row>
    <row r="46">
      <c r="A46" t="n">
        <v>1045</v>
      </c>
      <c r="B46" s="2" t="inlineStr">
        <is>
          <t>2026-10</t>
        </is>
      </c>
      <c r="C46" t="inlineStr">
        <is>
          <t>Nisha</t>
        </is>
      </c>
      <c r="D46" t="inlineStr">
        <is>
          <t>Mishra</t>
        </is>
      </c>
      <c r="E46" t="inlineStr">
        <is>
          <t>West</t>
        </is>
      </c>
      <c r="F46" t="inlineStr">
        <is>
          <t>Neha Kulkarni</t>
        </is>
      </c>
      <c r="G46" t="inlineStr">
        <is>
          <t>Cotton Kurta</t>
        </is>
      </c>
      <c r="H46" t="n">
        <v>3</v>
      </c>
      <c r="I46" s="3" t="n">
        <v>4200</v>
      </c>
      <c r="J46" t="inlineStr">
        <is>
          <t>completed</t>
        </is>
      </c>
      <c r="K46">
        <f>PROPER(TRIM(C46))</f>
        <v/>
      </c>
      <c r="L46">
        <f>PROPER(TRIM(D46))</f>
        <v/>
      </c>
      <c r="M46">
        <f>VLOOKUP(G46,products!$A$2:$C$10,2,FALSE)</f>
        <v/>
      </c>
      <c r="N46" s="3">
        <f>XLOOKUP(G46,products!$A$2:$A$10,products!$C$2:$C$10,"UNKNOWN_ITEM")</f>
        <v/>
      </c>
      <c r="O46" s="3">
        <f>N46*H46</f>
        <v/>
      </c>
    </row>
    <row r="47">
      <c r="A47" t="n">
        <v>1046</v>
      </c>
      <c r="B47" s="2" t="inlineStr">
        <is>
          <t>2026-10</t>
        </is>
      </c>
      <c r="C47" t="inlineStr">
        <is>
          <t xml:space="preserve">  Vikram</t>
        </is>
      </c>
      <c r="D47" t="inlineStr">
        <is>
          <t xml:space="preserve">Singh </t>
        </is>
      </c>
      <c r="E47" t="inlineStr">
        <is>
          <t>North</t>
        </is>
      </c>
      <c r="F47" t="inlineStr">
        <is>
          <t>Arjun Mehta</t>
        </is>
      </c>
      <c r="G47" t="inlineStr">
        <is>
          <t>Bedsheet Set</t>
        </is>
      </c>
      <c r="H47" t="n">
        <v>1</v>
      </c>
      <c r="I47" s="3" t="n">
        <v>1900</v>
      </c>
      <c r="J47" t="inlineStr">
        <is>
          <t>completed</t>
        </is>
      </c>
      <c r="K47">
        <f>PROPER(TRIM(C47))</f>
        <v/>
      </c>
      <c r="L47">
        <f>PROPER(TRIM(D47))</f>
        <v/>
      </c>
      <c r="M47">
        <f>VLOOKUP(G47,products!$A$2:$C$10,2,FALSE)</f>
        <v/>
      </c>
      <c r="N47" s="3">
        <f>XLOOKUP(G47,products!$A$2:$A$10,products!$C$2:$C$10,"UNKNOWN_ITEM")</f>
        <v/>
      </c>
      <c r="O47" s="3">
        <f>N47*H47</f>
        <v/>
      </c>
    </row>
    <row r="48">
      <c r="A48" t="n">
        <v>1047</v>
      </c>
      <c r="B48" s="2" t="inlineStr">
        <is>
          <t>2026-10</t>
        </is>
      </c>
      <c r="C48" t="inlineStr">
        <is>
          <t xml:space="preserve">  Isha</t>
        </is>
      </c>
      <c r="D48" t="inlineStr">
        <is>
          <t>Pillai</t>
        </is>
      </c>
      <c r="E48" t="inlineStr">
        <is>
          <t>West</t>
        </is>
      </c>
      <c r="F48" t="inlineStr">
        <is>
          <t>Neha Kulkarni</t>
        </is>
      </c>
      <c r="G48" t="inlineStr">
        <is>
          <t>Wireless Earbuds</t>
        </is>
      </c>
      <c r="H48" t="n">
        <v>3</v>
      </c>
      <c r="I48" s="3" t="n">
        <v>9600</v>
      </c>
      <c r="J48" t="inlineStr">
        <is>
          <t>disputed</t>
        </is>
      </c>
      <c r="K48">
        <f>PROPER(TRIM(C48))</f>
        <v/>
      </c>
      <c r="L48">
        <f>PROPER(TRIM(D48))</f>
        <v/>
      </c>
      <c r="M48">
        <f>VLOOKUP(G48,products!$A$2:$C$10,2,FALSE)</f>
        <v/>
      </c>
      <c r="N48" s="3">
        <f>XLOOKUP(G48,products!$A$2:$A$10,products!$C$2:$C$10,"UNKNOWN_ITEM")</f>
        <v/>
      </c>
      <c r="O48" s="3">
        <f>N48*H48</f>
        <v/>
      </c>
    </row>
    <row r="49">
      <c r="A49" t="n">
        <v>1048</v>
      </c>
      <c r="B49" s="2" t="inlineStr">
        <is>
          <t>2026-10</t>
        </is>
      </c>
      <c r="C49" t="inlineStr">
        <is>
          <t>Priya</t>
        </is>
      </c>
      <c r="D49" t="inlineStr">
        <is>
          <t>iyer</t>
        </is>
      </c>
      <c r="E49" t="inlineStr">
        <is>
          <t>South</t>
        </is>
      </c>
      <c r="F49" t="inlineStr">
        <is>
          <t>Kavya Nair</t>
        </is>
      </c>
      <c r="G49" t="inlineStr">
        <is>
          <t>Table Lamp</t>
        </is>
      </c>
      <c r="H49" t="n">
        <v>1</v>
      </c>
      <c r="I49" s="3" t="n">
        <v>1100</v>
      </c>
      <c r="J49" t="inlineStr">
        <is>
          <t>completed</t>
        </is>
      </c>
      <c r="K49">
        <f>PROPER(TRIM(C49))</f>
        <v/>
      </c>
      <c r="L49">
        <f>PROPER(TRIM(D49))</f>
        <v/>
      </c>
      <c r="M49">
        <f>VLOOKUP(G49,products!$A$2:$C$10,2,FALSE)</f>
        <v/>
      </c>
      <c r="N49" s="3">
        <f>XLOOKUP(G49,products!$A$2:$A$10,products!$C$2:$C$10,"UNKNOWN_ITEM")</f>
        <v/>
      </c>
      <c r="O49" s="3">
        <f>N49*H49</f>
        <v/>
      </c>
    </row>
    <row r="50">
      <c r="A50" t="n">
        <v>1049</v>
      </c>
      <c r="B50" s="2" t="inlineStr">
        <is>
          <t>2026-10</t>
        </is>
      </c>
      <c r="C50" t="inlineStr">
        <is>
          <t>aarav</t>
        </is>
      </c>
      <c r="D50" t="inlineStr">
        <is>
          <t>Sharma</t>
        </is>
      </c>
      <c r="E50" t="inlineStr">
        <is>
          <t>North</t>
        </is>
      </c>
      <c r="F50" t="inlineStr">
        <is>
          <t>Arjun Mehta</t>
        </is>
      </c>
      <c r="G50" t="inlineStr">
        <is>
          <t>Smart Watch</t>
        </is>
      </c>
      <c r="H50" t="n">
        <v>2</v>
      </c>
      <c r="I50" s="3" t="n">
        <v>9000</v>
      </c>
      <c r="J50" t="inlineStr">
        <is>
          <t>completed</t>
        </is>
      </c>
      <c r="K50">
        <f>PROPER(TRIM(C50))</f>
        <v/>
      </c>
      <c r="L50">
        <f>PROPER(TRIM(D50))</f>
        <v/>
      </c>
      <c r="M50">
        <f>VLOOKUP(G50,products!$A$2:$C$10,2,FALSE)</f>
        <v/>
      </c>
      <c r="N50" s="3">
        <f>XLOOKUP(G50,products!$A$2:$A$10,products!$C$2:$C$10,"UNKNOWN_ITEM")</f>
        <v/>
      </c>
      <c r="O50" s="3">
        <f>N50*H50</f>
        <v/>
      </c>
    </row>
    <row r="51">
      <c r="A51" t="n">
        <v>1050</v>
      </c>
      <c r="B51" s="2" t="inlineStr">
        <is>
          <t>2026-10</t>
        </is>
      </c>
      <c r="C51" t="inlineStr">
        <is>
          <t>Pooja</t>
        </is>
      </c>
      <c r="D51" t="inlineStr">
        <is>
          <t>Menon</t>
        </is>
      </c>
      <c r="E51" t="inlineStr">
        <is>
          <t>West</t>
        </is>
      </c>
      <c r="F51" t="inlineStr">
        <is>
          <t>Neha Kulkarni</t>
        </is>
      </c>
      <c r="G51" t="inlineStr">
        <is>
          <t>Running Shoes</t>
        </is>
      </c>
      <c r="H51" t="n">
        <v>1</v>
      </c>
      <c r="I51" s="3" t="n">
        <v>3600</v>
      </c>
      <c r="J51" t="inlineStr">
        <is>
          <t>completed</t>
        </is>
      </c>
      <c r="K51">
        <f>PROPER(TRIM(C51))</f>
        <v/>
      </c>
      <c r="L51">
        <f>PROPER(TRIM(D51))</f>
        <v/>
      </c>
      <c r="M51">
        <f>VLOOKUP(G51,products!$A$2:$C$10,2,FALSE)</f>
        <v/>
      </c>
      <c r="N51" s="3">
        <f>XLOOKUP(G51,products!$A$2:$A$10,products!$C$2:$C$10,"UNKNOWN_ITEM")</f>
        <v/>
      </c>
      <c r="O51" s="3">
        <f>N51*H51</f>
        <v/>
      </c>
    </row>
    <row r="52">
      <c r="A52" t="n">
        <v>1051</v>
      </c>
      <c r="B52" s="2" t="inlineStr">
        <is>
          <t>2026-10</t>
        </is>
      </c>
      <c r="C52" t="inlineStr">
        <is>
          <t>Sneha</t>
        </is>
      </c>
      <c r="D52" t="inlineStr">
        <is>
          <t>Das</t>
        </is>
      </c>
      <c r="E52" t="inlineStr">
        <is>
          <t>West</t>
        </is>
      </c>
      <c r="F52" t="inlineStr">
        <is>
          <t>Neha Kulkarni</t>
        </is>
      </c>
      <c r="G52" t="inlineStr">
        <is>
          <t>Cotton Kurta</t>
        </is>
      </c>
      <c r="H52" t="n">
        <v>2</v>
      </c>
      <c r="I52" s="3" t="n">
        <v>2800</v>
      </c>
      <c r="J52" t="inlineStr">
        <is>
          <t>completed</t>
        </is>
      </c>
      <c r="K52">
        <f>PROPER(TRIM(C52))</f>
        <v/>
      </c>
      <c r="L52">
        <f>PROPER(TRIM(D52))</f>
        <v/>
      </c>
      <c r="M52">
        <f>VLOOKUP(G52,products!$A$2:$C$10,2,FALSE)</f>
        <v/>
      </c>
      <c r="N52" s="3">
        <f>XLOOKUP(G52,products!$A$2:$A$10,products!$C$2:$C$10,"UNKNOWN_ITEM")</f>
        <v/>
      </c>
      <c r="O52" s="3">
        <f>N52*H52</f>
        <v/>
      </c>
    </row>
    <row r="53">
      <c r="A53" t="n">
        <v>1052</v>
      </c>
      <c r="B53" s="2" t="inlineStr">
        <is>
          <t>2026-10</t>
        </is>
      </c>
      <c r="C53" t="inlineStr">
        <is>
          <t xml:space="preserve">Aditya </t>
        </is>
      </c>
      <c r="D53" t="inlineStr">
        <is>
          <t>Rao</t>
        </is>
      </c>
      <c r="E53" t="inlineStr">
        <is>
          <t>East</t>
        </is>
      </c>
      <c r="F53" t="inlineStr">
        <is>
          <t>Sanjay Roy</t>
        </is>
      </c>
      <c r="G53" t="inlineStr">
        <is>
          <t>Smart Watch</t>
        </is>
      </c>
      <c r="H53" t="n">
        <v>3</v>
      </c>
      <c r="I53" s="3" t="n">
        <v>13500</v>
      </c>
      <c r="J53" t="inlineStr">
        <is>
          <t>pending</t>
        </is>
      </c>
      <c r="K53">
        <f>PROPER(TRIM(C53))</f>
        <v/>
      </c>
      <c r="L53">
        <f>PROPER(TRIM(D53))</f>
        <v/>
      </c>
      <c r="M53">
        <f>VLOOKUP(G53,products!$A$2:$C$10,2,FALSE)</f>
        <v/>
      </c>
      <c r="N53" s="3">
        <f>XLOOKUP(G53,products!$A$2:$A$10,products!$C$2:$C$10,"UNKNOWN_ITEM")</f>
        <v/>
      </c>
      <c r="O53" s="3">
        <f>N53*H53</f>
        <v/>
      </c>
    </row>
    <row r="54">
      <c r="A54" t="n">
        <v>1053</v>
      </c>
      <c r="B54" s="2" t="inlineStr">
        <is>
          <t>2026-10</t>
        </is>
      </c>
      <c r="C54" t="inlineStr">
        <is>
          <t>Tanvi</t>
        </is>
      </c>
      <c r="D54" t="inlineStr">
        <is>
          <t>Thakur</t>
        </is>
      </c>
      <c r="E54" t="inlineStr">
        <is>
          <t>South</t>
        </is>
      </c>
      <c r="F54" t="inlineStr">
        <is>
          <t>Kavya Nair</t>
        </is>
      </c>
      <c r="G54" t="inlineStr">
        <is>
          <t>Air Fryer</t>
        </is>
      </c>
      <c r="H54" t="n">
        <v>1</v>
      </c>
      <c r="I54" s="3" t="n">
        <v>5200</v>
      </c>
      <c r="J54" t="inlineStr">
        <is>
          <t>completed</t>
        </is>
      </c>
      <c r="K54">
        <f>PROPER(TRIM(C54))</f>
        <v/>
      </c>
      <c r="L54">
        <f>PROPER(TRIM(D54))</f>
        <v/>
      </c>
      <c r="M54">
        <f>VLOOKUP(G54,products!$A$2:$C$10,2,FALSE)</f>
        <v/>
      </c>
      <c r="N54" s="3">
        <f>XLOOKUP(G54,products!$A$2:$A$10,products!$C$2:$C$10,"UNKNOWN_ITEM")</f>
        <v/>
      </c>
      <c r="O54" s="3">
        <f>N54*H54</f>
        <v/>
      </c>
    </row>
    <row r="55">
      <c r="A55" t="n">
        <v>1054</v>
      </c>
      <c r="B55" s="2" t="inlineStr">
        <is>
          <t>2026-10</t>
        </is>
      </c>
      <c r="C55" t="inlineStr">
        <is>
          <t>Manoj</t>
        </is>
      </c>
      <c r="D55" t="inlineStr">
        <is>
          <t>Desai</t>
        </is>
      </c>
      <c r="E55" t="inlineStr">
        <is>
          <t>North</t>
        </is>
      </c>
      <c r="F55" t="inlineStr">
        <is>
          <t>Arjun Mehta</t>
        </is>
      </c>
      <c r="G55" t="inlineStr">
        <is>
          <t>Wireless Earbuds</t>
        </is>
      </c>
      <c r="H55" t="n">
        <v>3</v>
      </c>
      <c r="I55" s="3" t="n">
        <v>9600</v>
      </c>
      <c r="J55" t="inlineStr">
        <is>
          <t>completed</t>
        </is>
      </c>
      <c r="K55">
        <f>PROPER(TRIM(C55))</f>
        <v/>
      </c>
      <c r="L55">
        <f>PROPER(TRIM(D55))</f>
        <v/>
      </c>
      <c r="M55">
        <f>VLOOKUP(G55,products!$A$2:$C$10,2,FALSE)</f>
        <v/>
      </c>
      <c r="N55" s="3">
        <f>XLOOKUP(G55,products!$A$2:$A$10,products!$C$2:$C$10,"UNKNOWN_ITEM")</f>
        <v/>
      </c>
      <c r="O55" s="3">
        <f>N55*H55</f>
        <v/>
      </c>
    </row>
    <row r="56">
      <c r="A56" t="n">
        <v>1055</v>
      </c>
      <c r="B56" s="2" t="inlineStr">
        <is>
          <t>2026-10</t>
        </is>
      </c>
      <c r="C56" t="inlineStr">
        <is>
          <t>Swati</t>
        </is>
      </c>
      <c r="D56" t="inlineStr">
        <is>
          <t>Banerjee</t>
        </is>
      </c>
      <c r="E56" t="inlineStr">
        <is>
          <t>South</t>
        </is>
      </c>
      <c r="F56" t="inlineStr">
        <is>
          <t>Kavya Nair</t>
        </is>
      </c>
      <c r="G56" t="inlineStr">
        <is>
          <t>Smart Watch</t>
        </is>
      </c>
      <c r="H56" t="n">
        <v>1</v>
      </c>
      <c r="I56" s="3" t="n">
        <v>4500</v>
      </c>
      <c r="J56" t="inlineStr">
        <is>
          <t>completed</t>
        </is>
      </c>
      <c r="K56">
        <f>PROPER(TRIM(C56))</f>
        <v/>
      </c>
      <c r="L56">
        <f>PROPER(TRIM(D56))</f>
        <v/>
      </c>
      <c r="M56">
        <f>VLOOKUP(G56,products!$A$2:$C$10,2,FALSE)</f>
        <v/>
      </c>
      <c r="N56" s="3">
        <f>XLOOKUP(G56,products!$A$2:$A$10,products!$C$2:$C$10,"UNKNOWN_ITEM")</f>
        <v/>
      </c>
      <c r="O56" s="3">
        <f>N56*H56</f>
        <v/>
      </c>
    </row>
    <row r="57">
      <c r="A57" t="n">
        <v>1056</v>
      </c>
      <c r="B57" s="2" t="inlineStr">
        <is>
          <t>2026-10</t>
        </is>
      </c>
      <c r="C57" t="inlineStr">
        <is>
          <t>Pooja</t>
        </is>
      </c>
      <c r="D57" t="inlineStr">
        <is>
          <t>Menon</t>
        </is>
      </c>
      <c r="E57" t="inlineStr">
        <is>
          <t>West</t>
        </is>
      </c>
      <c r="F57" t="inlineStr">
        <is>
          <t>Neha Kulkarni</t>
        </is>
      </c>
      <c r="G57" t="inlineStr">
        <is>
          <t>Wireless Earbuds</t>
        </is>
      </c>
      <c r="H57" t="n">
        <v>1</v>
      </c>
      <c r="I57" s="3" t="n">
        <v>3200</v>
      </c>
      <c r="J57" t="inlineStr">
        <is>
          <t>disputed</t>
        </is>
      </c>
      <c r="K57">
        <f>PROPER(TRIM(C57))</f>
        <v/>
      </c>
      <c r="L57">
        <f>PROPER(TRIM(D57))</f>
        <v/>
      </c>
      <c r="M57">
        <f>VLOOKUP(G57,products!$A$2:$C$10,2,FALSE)</f>
        <v/>
      </c>
      <c r="N57" s="3">
        <f>XLOOKUP(G57,products!$A$2:$A$10,products!$C$2:$C$10,"UNKNOWN_ITEM")</f>
        <v/>
      </c>
      <c r="O57" s="3">
        <f>N57*H57</f>
        <v/>
      </c>
    </row>
    <row r="58">
      <c r="A58" t="n">
        <v>1057</v>
      </c>
      <c r="B58" s="2" t="inlineStr">
        <is>
          <t>2026-11</t>
        </is>
      </c>
      <c r="C58" t="inlineStr">
        <is>
          <t>Sneha</t>
        </is>
      </c>
      <c r="D58" t="inlineStr">
        <is>
          <t>Das</t>
        </is>
      </c>
      <c r="E58" t="inlineStr">
        <is>
          <t>West</t>
        </is>
      </c>
      <c r="F58" t="inlineStr">
        <is>
          <t>Neha Kulkarni</t>
        </is>
      </c>
      <c r="G58" t="inlineStr">
        <is>
          <t>Bluetooth Speaker</t>
        </is>
      </c>
      <c r="H58" t="n">
        <v>1</v>
      </c>
      <c r="I58" s="3" t="n">
        <v>2800</v>
      </c>
      <c r="J58" t="inlineStr">
        <is>
          <t>pending</t>
        </is>
      </c>
      <c r="K58">
        <f>PROPER(TRIM(C58))</f>
        <v/>
      </c>
      <c r="L58">
        <f>PROPER(TRIM(D58))</f>
        <v/>
      </c>
      <c r="M58">
        <f>VLOOKUP(G58,products!$A$2:$C$10,2,FALSE)</f>
        <v/>
      </c>
      <c r="N58" s="3">
        <f>XLOOKUP(G58,products!$A$2:$A$10,products!$C$2:$C$10,"UNKNOWN_ITEM")</f>
        <v/>
      </c>
      <c r="O58" s="3">
        <f>N58*H58</f>
        <v/>
      </c>
    </row>
    <row r="59">
      <c r="A59" t="n">
        <v>1058</v>
      </c>
      <c r="B59" s="2" t="inlineStr">
        <is>
          <t>2026-11</t>
        </is>
      </c>
      <c r="C59" t="inlineStr">
        <is>
          <t>suresh</t>
        </is>
      </c>
      <c r="D59" t="inlineStr">
        <is>
          <t>BOSE</t>
        </is>
      </c>
      <c r="E59" t="inlineStr">
        <is>
          <t>North</t>
        </is>
      </c>
      <c r="F59" t="inlineStr">
        <is>
          <t>Arjun Mehta</t>
        </is>
      </c>
      <c r="G59" t="inlineStr">
        <is>
          <t>Bedsheet Set</t>
        </is>
      </c>
      <c r="H59" t="n">
        <v>1</v>
      </c>
      <c r="I59" s="3" t="n">
        <v>1900</v>
      </c>
      <c r="J59" t="inlineStr">
        <is>
          <t>pending</t>
        </is>
      </c>
      <c r="K59">
        <f>PROPER(TRIM(C59))</f>
        <v/>
      </c>
      <c r="L59">
        <f>PROPER(TRIM(D59))</f>
        <v/>
      </c>
      <c r="M59">
        <f>VLOOKUP(G59,products!$A$2:$C$10,2,FALSE)</f>
        <v/>
      </c>
      <c r="N59" s="3">
        <f>XLOOKUP(G59,products!$A$2:$A$10,products!$C$2:$C$10,"UNKNOWN_ITEM")</f>
        <v/>
      </c>
      <c r="O59" s="3">
        <f>N59*H59</f>
        <v/>
      </c>
    </row>
    <row r="60">
      <c r="A60" t="n">
        <v>1059</v>
      </c>
      <c r="B60" s="2" t="inlineStr">
        <is>
          <t>2026-11</t>
        </is>
      </c>
      <c r="C60" t="inlineStr">
        <is>
          <t>Priya</t>
        </is>
      </c>
      <c r="D60" t="inlineStr">
        <is>
          <t>iyer</t>
        </is>
      </c>
      <c r="E60" t="inlineStr">
        <is>
          <t>South</t>
        </is>
      </c>
      <c r="F60" t="inlineStr">
        <is>
          <t>Kavya Nair</t>
        </is>
      </c>
      <c r="G60" t="inlineStr">
        <is>
          <t>Bluetooth Speaker</t>
        </is>
      </c>
      <c r="H60" t="n">
        <v>2</v>
      </c>
      <c r="I60" s="3" t="n">
        <v>5600</v>
      </c>
      <c r="J60" t="inlineStr">
        <is>
          <t>completed</t>
        </is>
      </c>
      <c r="K60">
        <f>PROPER(TRIM(C60))</f>
        <v/>
      </c>
      <c r="L60">
        <f>PROPER(TRIM(D60))</f>
        <v/>
      </c>
      <c r="M60">
        <f>VLOOKUP(G60,products!$A$2:$C$10,2,FALSE)</f>
        <v/>
      </c>
      <c r="N60" s="3">
        <f>XLOOKUP(G60,products!$A$2:$A$10,products!$C$2:$C$10,"UNKNOWN_ITEM")</f>
        <v/>
      </c>
      <c r="O60" s="3">
        <f>N60*H60</f>
        <v/>
      </c>
    </row>
    <row r="61">
      <c r="A61" t="n">
        <v>1060</v>
      </c>
      <c r="B61" s="2" t="inlineStr">
        <is>
          <t>2026-11</t>
        </is>
      </c>
      <c r="C61" t="inlineStr">
        <is>
          <t>suresh</t>
        </is>
      </c>
      <c r="D61" t="inlineStr">
        <is>
          <t>BOSE</t>
        </is>
      </c>
      <c r="E61" t="inlineStr">
        <is>
          <t>North</t>
        </is>
      </c>
      <c r="F61" t="inlineStr">
        <is>
          <t>Arjun Mehta</t>
        </is>
      </c>
      <c r="G61" t="inlineStr">
        <is>
          <t>Wireless Earbuds</t>
        </is>
      </c>
      <c r="H61" t="n">
        <v>3</v>
      </c>
      <c r="I61" s="3" t="n">
        <v>9600</v>
      </c>
      <c r="J61" t="inlineStr">
        <is>
          <t>disputed</t>
        </is>
      </c>
      <c r="K61">
        <f>PROPER(TRIM(C61))</f>
        <v/>
      </c>
      <c r="L61">
        <f>PROPER(TRIM(D61))</f>
        <v/>
      </c>
      <c r="M61">
        <f>VLOOKUP(G61,products!$A$2:$C$10,2,FALSE)</f>
        <v/>
      </c>
      <c r="N61" s="3">
        <f>XLOOKUP(G61,products!$A$2:$A$10,products!$C$2:$C$10,"UNKNOWN_ITEM")</f>
        <v/>
      </c>
      <c r="O61" s="3">
        <f>N61*H61</f>
        <v/>
      </c>
    </row>
    <row r="62">
      <c r="A62" t="n">
        <v>1061</v>
      </c>
      <c r="B62" s="2" t="inlineStr">
        <is>
          <t>2026-11</t>
        </is>
      </c>
      <c r="C62" t="inlineStr">
        <is>
          <t>Nisha</t>
        </is>
      </c>
      <c r="D62" t="inlineStr">
        <is>
          <t>Mishra</t>
        </is>
      </c>
      <c r="E62" t="inlineStr">
        <is>
          <t>West</t>
        </is>
      </c>
      <c r="F62" t="inlineStr">
        <is>
          <t>Neha Kulkarni</t>
        </is>
      </c>
      <c r="G62" t="inlineStr">
        <is>
          <t>Air Fryer</t>
        </is>
      </c>
      <c r="H62" t="n">
        <v>3</v>
      </c>
      <c r="I62" s="3" t="n">
        <v>15600</v>
      </c>
      <c r="J62" t="inlineStr">
        <is>
          <t>completed</t>
        </is>
      </c>
      <c r="K62">
        <f>PROPER(TRIM(C62))</f>
        <v/>
      </c>
      <c r="L62">
        <f>PROPER(TRIM(D62))</f>
        <v/>
      </c>
      <c r="M62">
        <f>VLOOKUP(G62,products!$A$2:$C$10,2,FALSE)</f>
        <v/>
      </c>
      <c r="N62" s="3">
        <f>XLOOKUP(G62,products!$A$2:$A$10,products!$C$2:$C$10,"UNKNOWN_ITEM")</f>
        <v/>
      </c>
      <c r="O62" s="3">
        <f>N62*H62</f>
        <v/>
      </c>
    </row>
    <row r="63">
      <c r="A63" t="n">
        <v>1062</v>
      </c>
      <c r="B63" s="2" t="inlineStr">
        <is>
          <t>2026-11</t>
        </is>
      </c>
      <c r="C63" t="inlineStr">
        <is>
          <t xml:space="preserve">  Isha</t>
        </is>
      </c>
      <c r="D63" t="inlineStr">
        <is>
          <t>Pillai</t>
        </is>
      </c>
      <c r="E63" t="inlineStr">
        <is>
          <t>West</t>
        </is>
      </c>
      <c r="F63" t="inlineStr">
        <is>
          <t>Neha Kulkarni</t>
        </is>
      </c>
      <c r="G63" t="inlineStr">
        <is>
          <t>Wireless Earbuds</t>
        </is>
      </c>
      <c r="H63" t="n">
        <v>2</v>
      </c>
      <c r="I63" s="3" t="n">
        <v>6400</v>
      </c>
      <c r="J63" t="inlineStr">
        <is>
          <t>completed</t>
        </is>
      </c>
      <c r="K63">
        <f>PROPER(TRIM(C63))</f>
        <v/>
      </c>
      <c r="L63">
        <f>PROPER(TRIM(D63))</f>
        <v/>
      </c>
      <c r="M63">
        <f>VLOOKUP(G63,products!$A$2:$C$10,2,FALSE)</f>
        <v/>
      </c>
      <c r="N63" s="3">
        <f>XLOOKUP(G63,products!$A$2:$A$10,products!$C$2:$C$10,"UNKNOWN_ITEM")</f>
        <v/>
      </c>
      <c r="O63" s="3">
        <f>N63*H63</f>
        <v/>
      </c>
    </row>
    <row r="64">
      <c r="A64" t="n">
        <v>1063</v>
      </c>
      <c r="B64" s="2" t="inlineStr">
        <is>
          <t>2026-11</t>
        </is>
      </c>
      <c r="C64" t="inlineStr">
        <is>
          <t>MEERA</t>
        </is>
      </c>
      <c r="D64" t="inlineStr">
        <is>
          <t xml:space="preserve">  Patil</t>
        </is>
      </c>
      <c r="E64" t="inlineStr">
        <is>
          <t>South</t>
        </is>
      </c>
      <c r="F64" t="inlineStr">
        <is>
          <t>Kavya Nair</t>
        </is>
      </c>
      <c r="G64" t="inlineStr">
        <is>
          <t>Air Fryer</t>
        </is>
      </c>
      <c r="H64" t="n">
        <v>1</v>
      </c>
      <c r="I64" s="3" t="n">
        <v>5200</v>
      </c>
      <c r="J64" t="inlineStr">
        <is>
          <t>pending</t>
        </is>
      </c>
      <c r="K64">
        <f>PROPER(TRIM(C64))</f>
        <v/>
      </c>
      <c r="L64">
        <f>PROPER(TRIM(D64))</f>
        <v/>
      </c>
      <c r="M64">
        <f>VLOOKUP(G64,products!$A$2:$C$10,2,FALSE)</f>
        <v/>
      </c>
      <c r="N64" s="3">
        <f>XLOOKUP(G64,products!$A$2:$A$10,products!$C$2:$C$10,"UNKNOWN_ITEM")</f>
        <v/>
      </c>
      <c r="O64" s="3">
        <f>N64*H64</f>
        <v/>
      </c>
    </row>
    <row r="65">
      <c r="A65" t="n">
        <v>1064</v>
      </c>
      <c r="B65" s="2" t="inlineStr">
        <is>
          <t>2026-11</t>
        </is>
      </c>
      <c r="C65" t="inlineStr">
        <is>
          <t xml:space="preserve">  Isha</t>
        </is>
      </c>
      <c r="D65" t="inlineStr">
        <is>
          <t>Pillai</t>
        </is>
      </c>
      <c r="E65" t="inlineStr">
        <is>
          <t>West</t>
        </is>
      </c>
      <c r="F65" t="inlineStr">
        <is>
          <t>Neha Kulkarni</t>
        </is>
      </c>
      <c r="G65" t="inlineStr">
        <is>
          <t>Bluetooth Speaker</t>
        </is>
      </c>
      <c r="H65" t="n">
        <v>1</v>
      </c>
      <c r="I65" s="3" t="n"/>
      <c r="J65" t="inlineStr">
        <is>
          <t>pending</t>
        </is>
      </c>
      <c r="K65">
        <f>PROPER(TRIM(C65))</f>
        <v/>
      </c>
      <c r="L65">
        <f>PROPER(TRIM(D65))</f>
        <v/>
      </c>
      <c r="M65">
        <f>VLOOKUP(G65,products!$A$2:$C$10,2,FALSE)</f>
        <v/>
      </c>
      <c r="N65" s="3">
        <f>XLOOKUP(G65,products!$A$2:$A$10,products!$C$2:$C$10,"UNKNOWN_ITEM")</f>
        <v/>
      </c>
      <c r="O65" s="3">
        <f>N65*H65</f>
        <v/>
      </c>
    </row>
    <row r="66">
      <c r="A66" t="n">
        <v>1065</v>
      </c>
      <c r="B66" s="2" t="inlineStr">
        <is>
          <t>2026-11</t>
        </is>
      </c>
      <c r="C66" t="inlineStr">
        <is>
          <t>Tanvi</t>
        </is>
      </c>
      <c r="D66" t="inlineStr">
        <is>
          <t>Thakur</t>
        </is>
      </c>
      <c r="E66" t="inlineStr">
        <is>
          <t>South</t>
        </is>
      </c>
      <c r="F66" t="inlineStr">
        <is>
          <t>Kavya Nair</t>
        </is>
      </c>
      <c r="G66" t="inlineStr">
        <is>
          <t>Air Fryer</t>
        </is>
      </c>
      <c r="H66" t="n">
        <v>3</v>
      </c>
      <c r="I66" s="3" t="n">
        <v>15600</v>
      </c>
      <c r="J66" t="inlineStr">
        <is>
          <t>completed</t>
        </is>
      </c>
      <c r="K66">
        <f>PROPER(TRIM(C66))</f>
        <v/>
      </c>
      <c r="L66">
        <f>PROPER(TRIM(D66))</f>
        <v/>
      </c>
      <c r="M66">
        <f>VLOOKUP(G66,products!$A$2:$C$10,2,FALSE)</f>
        <v/>
      </c>
      <c r="N66" s="3">
        <f>XLOOKUP(G66,products!$A$2:$A$10,products!$C$2:$C$10,"UNKNOWN_ITEM")</f>
        <v/>
      </c>
      <c r="O66" s="3">
        <f>N66*H66</f>
        <v/>
      </c>
    </row>
    <row r="67">
      <c r="A67" t="n">
        <v>1066</v>
      </c>
      <c r="B67" s="2" t="inlineStr">
        <is>
          <t>2026-11</t>
        </is>
      </c>
      <c r="C67" t="inlineStr">
        <is>
          <t>suresh</t>
        </is>
      </c>
      <c r="D67" t="inlineStr">
        <is>
          <t>BOSE</t>
        </is>
      </c>
      <c r="E67" t="inlineStr">
        <is>
          <t>North</t>
        </is>
      </c>
      <c r="F67" t="inlineStr">
        <is>
          <t>Arjun Mehta</t>
        </is>
      </c>
      <c r="G67" t="inlineStr">
        <is>
          <t>Wireless Earbuds</t>
        </is>
      </c>
      <c r="H67" t="n">
        <v>1</v>
      </c>
      <c r="I67" s="3" t="n">
        <v>3200</v>
      </c>
      <c r="J67" t="inlineStr">
        <is>
          <t>completed</t>
        </is>
      </c>
      <c r="K67">
        <f>PROPER(TRIM(C67))</f>
        <v/>
      </c>
      <c r="L67">
        <f>PROPER(TRIM(D67))</f>
        <v/>
      </c>
      <c r="M67">
        <f>VLOOKUP(G67,products!$A$2:$C$10,2,FALSE)</f>
        <v/>
      </c>
      <c r="N67" s="3">
        <f>XLOOKUP(G67,products!$A$2:$A$10,products!$C$2:$C$10,"UNKNOWN_ITEM")</f>
        <v/>
      </c>
      <c r="O67" s="3">
        <f>N67*H67</f>
        <v/>
      </c>
    </row>
    <row r="68">
      <c r="A68" t="n">
        <v>1067</v>
      </c>
      <c r="B68" s="2" t="inlineStr">
        <is>
          <t>2026-11</t>
        </is>
      </c>
      <c r="C68" t="inlineStr">
        <is>
          <t>Priya</t>
        </is>
      </c>
      <c r="D68" t="inlineStr">
        <is>
          <t>iyer</t>
        </is>
      </c>
      <c r="E68" t="inlineStr">
        <is>
          <t>South</t>
        </is>
      </c>
      <c r="F68" t="inlineStr">
        <is>
          <t>Kavya Nair</t>
        </is>
      </c>
      <c r="G68" t="inlineStr">
        <is>
          <t>Air Fryer</t>
        </is>
      </c>
      <c r="H68" t="n">
        <v>1</v>
      </c>
      <c r="I68" s="3" t="n">
        <v>5200</v>
      </c>
      <c r="J68" t="inlineStr">
        <is>
          <t>completed</t>
        </is>
      </c>
      <c r="K68">
        <f>PROPER(TRIM(C68))</f>
        <v/>
      </c>
      <c r="L68">
        <f>PROPER(TRIM(D68))</f>
        <v/>
      </c>
      <c r="M68">
        <f>VLOOKUP(G68,products!$A$2:$C$10,2,FALSE)</f>
        <v/>
      </c>
      <c r="N68" s="3">
        <f>XLOOKUP(G68,products!$A$2:$A$10,products!$C$2:$C$10,"UNKNOWN_ITEM")</f>
        <v/>
      </c>
      <c r="O68" s="3">
        <f>N68*H68</f>
        <v/>
      </c>
    </row>
    <row r="69">
      <c r="A69" t="n">
        <v>1068</v>
      </c>
      <c r="B69" s="2" t="inlineStr">
        <is>
          <t>2026-11</t>
        </is>
      </c>
      <c r="C69" t="inlineStr">
        <is>
          <t>Harsh</t>
        </is>
      </c>
      <c r="D69" t="inlineStr">
        <is>
          <t>Chopra</t>
        </is>
      </c>
      <c r="E69" t="inlineStr">
        <is>
          <t>East</t>
        </is>
      </c>
      <c r="F69" t="inlineStr">
        <is>
          <t>Sanjay Roy</t>
        </is>
      </c>
      <c r="G69" t="inlineStr">
        <is>
          <t>Air Fryer</t>
        </is>
      </c>
      <c r="H69" t="n">
        <v>1</v>
      </c>
      <c r="I69" s="3" t="n">
        <v>5200</v>
      </c>
      <c r="J69" t="inlineStr">
        <is>
          <t>pending</t>
        </is>
      </c>
      <c r="K69">
        <f>PROPER(TRIM(C69))</f>
        <v/>
      </c>
      <c r="L69">
        <f>PROPER(TRIM(D69))</f>
        <v/>
      </c>
      <c r="M69">
        <f>VLOOKUP(G69,products!$A$2:$C$10,2,FALSE)</f>
        <v/>
      </c>
      <c r="N69" s="3">
        <f>XLOOKUP(G69,products!$A$2:$A$10,products!$C$2:$C$10,"UNKNOWN_ITEM")</f>
        <v/>
      </c>
      <c r="O69" s="3">
        <f>N69*H69</f>
        <v/>
      </c>
    </row>
    <row r="70">
      <c r="A70" t="n">
        <v>1069</v>
      </c>
      <c r="B70" s="2" t="inlineStr">
        <is>
          <t>2026-11</t>
        </is>
      </c>
      <c r="C70" t="inlineStr">
        <is>
          <t xml:space="preserve">Aditya </t>
        </is>
      </c>
      <c r="D70" t="inlineStr">
        <is>
          <t>Rao</t>
        </is>
      </c>
      <c r="E70" t="inlineStr">
        <is>
          <t>East</t>
        </is>
      </c>
      <c r="F70" t="inlineStr">
        <is>
          <t>Sanjay Roy</t>
        </is>
      </c>
      <c r="G70" t="inlineStr">
        <is>
          <t>Air Fryer</t>
        </is>
      </c>
      <c r="H70" t="n">
        <v>3</v>
      </c>
      <c r="I70" s="3" t="n">
        <v>15600</v>
      </c>
      <c r="J70" t="inlineStr">
        <is>
          <t>completed</t>
        </is>
      </c>
      <c r="K70">
        <f>PROPER(TRIM(C70))</f>
        <v/>
      </c>
      <c r="L70">
        <f>PROPER(TRIM(D70))</f>
        <v/>
      </c>
      <c r="M70">
        <f>VLOOKUP(G70,products!$A$2:$C$10,2,FALSE)</f>
        <v/>
      </c>
      <c r="N70" s="3">
        <f>XLOOKUP(G70,products!$A$2:$A$10,products!$C$2:$C$10,"UNKNOWN_ITEM")</f>
        <v/>
      </c>
      <c r="O70" s="3">
        <f>N70*H70</f>
        <v/>
      </c>
    </row>
    <row r="71">
      <c r="A71" t="n">
        <v>1070</v>
      </c>
      <c r="B71" s="2" t="inlineStr">
        <is>
          <t>2026-11</t>
        </is>
      </c>
      <c r="C71" t="inlineStr">
        <is>
          <t>MEERA</t>
        </is>
      </c>
      <c r="D71" t="inlineStr">
        <is>
          <t xml:space="preserve">  Patil</t>
        </is>
      </c>
      <c r="E71" t="inlineStr">
        <is>
          <t>South</t>
        </is>
      </c>
      <c r="F71" t="inlineStr">
        <is>
          <t>Kavya Nair</t>
        </is>
      </c>
      <c r="G71" t="inlineStr">
        <is>
          <t>Table Lamp</t>
        </is>
      </c>
      <c r="H71" t="n">
        <v>2</v>
      </c>
      <c r="I71" s="3" t="n">
        <v>2200</v>
      </c>
      <c r="J71" t="inlineStr">
        <is>
          <t>completed</t>
        </is>
      </c>
      <c r="K71">
        <f>PROPER(TRIM(C71))</f>
        <v/>
      </c>
      <c r="L71">
        <f>PROPER(TRIM(D71))</f>
        <v/>
      </c>
      <c r="M71">
        <f>VLOOKUP(G71,products!$A$2:$C$10,2,FALSE)</f>
        <v/>
      </c>
      <c r="N71" s="3">
        <f>XLOOKUP(G71,products!$A$2:$A$10,products!$C$2:$C$10,"UNKNOWN_ITEM")</f>
        <v/>
      </c>
      <c r="O71" s="3">
        <f>N71*H71</f>
        <v/>
      </c>
    </row>
    <row r="72">
      <c r="A72" t="n">
        <v>1071</v>
      </c>
      <c r="B72" s="2" t="inlineStr">
        <is>
          <t>2026-11</t>
        </is>
      </c>
      <c r="C72" t="inlineStr">
        <is>
          <t>Tanvi</t>
        </is>
      </c>
      <c r="D72" t="inlineStr">
        <is>
          <t>Thakur</t>
        </is>
      </c>
      <c r="E72" t="inlineStr">
        <is>
          <t>South</t>
        </is>
      </c>
      <c r="F72" t="inlineStr">
        <is>
          <t>Kavya Nair</t>
        </is>
      </c>
      <c r="G72" t="inlineStr">
        <is>
          <t>Air Fryer</t>
        </is>
      </c>
      <c r="H72" t="n">
        <v>1</v>
      </c>
      <c r="I72" s="3" t="n">
        <v>5200</v>
      </c>
      <c r="J72" t="inlineStr">
        <is>
          <t>pending</t>
        </is>
      </c>
      <c r="K72">
        <f>PROPER(TRIM(C72))</f>
        <v/>
      </c>
      <c r="L72">
        <f>PROPER(TRIM(D72))</f>
        <v/>
      </c>
      <c r="M72">
        <f>VLOOKUP(G72,products!$A$2:$C$10,2,FALSE)</f>
        <v/>
      </c>
      <c r="N72" s="3">
        <f>XLOOKUP(G72,products!$A$2:$A$10,products!$C$2:$C$10,"UNKNOWN_ITEM")</f>
        <v/>
      </c>
      <c r="O72" s="3">
        <f>N72*H72</f>
        <v/>
      </c>
    </row>
    <row r="73">
      <c r="A73" t="n">
        <v>1072</v>
      </c>
      <c r="B73" s="2" t="inlineStr">
        <is>
          <t>2026-11</t>
        </is>
      </c>
      <c r="C73" t="inlineStr">
        <is>
          <t xml:space="preserve">  Isha</t>
        </is>
      </c>
      <c r="D73" t="inlineStr">
        <is>
          <t>Pillai</t>
        </is>
      </c>
      <c r="E73" t="inlineStr">
        <is>
          <t>West</t>
        </is>
      </c>
      <c r="F73" t="inlineStr">
        <is>
          <t>Neha Kulkarni</t>
        </is>
      </c>
      <c r="G73" t="inlineStr">
        <is>
          <t>Bedsheet Set</t>
        </is>
      </c>
      <c r="H73" t="n">
        <v>1</v>
      </c>
      <c r="I73" s="3" t="n">
        <v>1900</v>
      </c>
      <c r="J73" t="inlineStr">
        <is>
          <t>completed</t>
        </is>
      </c>
      <c r="K73">
        <f>PROPER(TRIM(C73))</f>
        <v/>
      </c>
      <c r="L73">
        <f>PROPER(TRIM(D73))</f>
        <v/>
      </c>
      <c r="M73">
        <f>VLOOKUP(G73,products!$A$2:$C$10,2,FALSE)</f>
        <v/>
      </c>
      <c r="N73" s="3">
        <f>XLOOKUP(G73,products!$A$2:$A$10,products!$C$2:$C$10,"UNKNOWN_ITEM")</f>
        <v/>
      </c>
      <c r="O73" s="3">
        <f>N73*H73</f>
        <v/>
      </c>
    </row>
    <row r="74">
      <c r="A74" t="n">
        <v>1073</v>
      </c>
      <c r="B74" s="2" t="inlineStr">
        <is>
          <t>2026-11</t>
        </is>
      </c>
      <c r="C74" t="inlineStr">
        <is>
          <t>Harsh</t>
        </is>
      </c>
      <c r="D74" t="inlineStr">
        <is>
          <t>Chopra</t>
        </is>
      </c>
      <c r="E74" t="inlineStr">
        <is>
          <t>East</t>
        </is>
      </c>
      <c r="F74" t="inlineStr">
        <is>
          <t>Sanjay Roy</t>
        </is>
      </c>
      <c r="G74" t="inlineStr">
        <is>
          <t>Smart Watch</t>
        </is>
      </c>
      <c r="H74" t="n">
        <v>1</v>
      </c>
      <c r="I74" s="3" t="n">
        <v>4500</v>
      </c>
      <c r="J74" t="inlineStr">
        <is>
          <t>completed</t>
        </is>
      </c>
      <c r="K74">
        <f>PROPER(TRIM(C74))</f>
        <v/>
      </c>
      <c r="L74">
        <f>PROPER(TRIM(D74))</f>
        <v/>
      </c>
      <c r="M74">
        <f>VLOOKUP(G74,products!$A$2:$C$10,2,FALSE)</f>
        <v/>
      </c>
      <c r="N74" s="3">
        <f>XLOOKUP(G74,products!$A$2:$A$10,products!$C$2:$C$10,"UNKNOWN_ITEM")</f>
        <v/>
      </c>
      <c r="O74" s="3">
        <f>N74*H74</f>
        <v/>
      </c>
    </row>
    <row r="75">
      <c r="A75" t="n">
        <v>1074</v>
      </c>
      <c r="B75" s="2" t="inlineStr">
        <is>
          <t>2026-11</t>
        </is>
      </c>
      <c r="C75" t="inlineStr">
        <is>
          <t>Nisha</t>
        </is>
      </c>
      <c r="D75" t="inlineStr">
        <is>
          <t>Mishra</t>
        </is>
      </c>
      <c r="E75" t="inlineStr">
        <is>
          <t>West</t>
        </is>
      </c>
      <c r="F75" t="inlineStr">
        <is>
          <t>Neha Kulkarni</t>
        </is>
      </c>
      <c r="G75" t="inlineStr">
        <is>
          <t>Running Shoes</t>
        </is>
      </c>
      <c r="H75" t="n">
        <v>2</v>
      </c>
      <c r="I75" s="3" t="n">
        <v>7200</v>
      </c>
      <c r="J75" t="inlineStr">
        <is>
          <t>completed</t>
        </is>
      </c>
      <c r="K75">
        <f>PROPER(TRIM(C75))</f>
        <v/>
      </c>
      <c r="L75">
        <f>PROPER(TRIM(D75))</f>
        <v/>
      </c>
      <c r="M75">
        <f>VLOOKUP(G75,products!$A$2:$C$10,2,FALSE)</f>
        <v/>
      </c>
      <c r="N75" s="3">
        <f>XLOOKUP(G75,products!$A$2:$A$10,products!$C$2:$C$10,"UNKNOWN_ITEM")</f>
        <v/>
      </c>
      <c r="O75" s="3">
        <f>N75*H75</f>
        <v/>
      </c>
    </row>
    <row r="76">
      <c r="A76" t="n">
        <v>1075</v>
      </c>
      <c r="B76" s="2" t="inlineStr">
        <is>
          <t>2026-11</t>
        </is>
      </c>
      <c r="C76" t="inlineStr">
        <is>
          <t>Sneha</t>
        </is>
      </c>
      <c r="D76" t="inlineStr">
        <is>
          <t>Das</t>
        </is>
      </c>
      <c r="E76" t="inlineStr">
        <is>
          <t>West</t>
        </is>
      </c>
      <c r="F76" t="inlineStr">
        <is>
          <t>Neha Kulkarni</t>
        </is>
      </c>
      <c r="G76" t="inlineStr">
        <is>
          <t>Running Shoes</t>
        </is>
      </c>
      <c r="H76" t="n">
        <v>1</v>
      </c>
      <c r="I76" s="3" t="n">
        <v>3600</v>
      </c>
      <c r="J76" t="inlineStr">
        <is>
          <t>pending</t>
        </is>
      </c>
      <c r="K76">
        <f>PROPER(TRIM(C76))</f>
        <v/>
      </c>
      <c r="L76">
        <f>PROPER(TRIM(D76))</f>
        <v/>
      </c>
      <c r="M76">
        <f>VLOOKUP(G76,products!$A$2:$C$10,2,FALSE)</f>
        <v/>
      </c>
      <c r="N76" s="3">
        <f>XLOOKUP(G76,products!$A$2:$A$10,products!$C$2:$C$10,"UNKNOWN_ITEM")</f>
        <v/>
      </c>
      <c r="O76" s="3">
        <f>N76*H76</f>
        <v/>
      </c>
    </row>
    <row r="77">
      <c r="A77" t="n">
        <v>1076</v>
      </c>
      <c r="B77" s="2" t="inlineStr">
        <is>
          <t>2026-11</t>
        </is>
      </c>
      <c r="C77" t="inlineStr">
        <is>
          <t>Gaurav</t>
        </is>
      </c>
      <c r="D77" t="inlineStr">
        <is>
          <t>Yadav</t>
        </is>
      </c>
      <c r="E77" t="inlineStr">
        <is>
          <t>East</t>
        </is>
      </c>
      <c r="F77" t="inlineStr">
        <is>
          <t>Sanjay Roy</t>
        </is>
      </c>
      <c r="G77" t="inlineStr">
        <is>
          <t>Cotton Kurta</t>
        </is>
      </c>
      <c r="H77" t="n">
        <v>2</v>
      </c>
      <c r="I77" s="3" t="n">
        <v>2800</v>
      </c>
      <c r="J77" t="inlineStr">
        <is>
          <t>completed</t>
        </is>
      </c>
      <c r="K77">
        <f>PROPER(TRIM(C77))</f>
        <v/>
      </c>
      <c r="L77">
        <f>PROPER(TRIM(D77))</f>
        <v/>
      </c>
      <c r="M77">
        <f>VLOOKUP(G77,products!$A$2:$C$10,2,FALSE)</f>
        <v/>
      </c>
      <c r="N77" s="3">
        <f>XLOOKUP(G77,products!$A$2:$A$10,products!$C$2:$C$10,"UNKNOWN_ITEM")</f>
        <v/>
      </c>
      <c r="O77" s="3">
        <f>N77*H77</f>
        <v/>
      </c>
    </row>
    <row r="78">
      <c r="A78" t="n">
        <v>1077</v>
      </c>
      <c r="B78" s="2" t="inlineStr">
        <is>
          <t>2026-11</t>
        </is>
      </c>
      <c r="C78" t="inlineStr">
        <is>
          <t>RAHUL</t>
        </is>
      </c>
      <c r="D78" t="inlineStr">
        <is>
          <t>VERMA</t>
        </is>
      </c>
      <c r="E78" t="inlineStr">
        <is>
          <t>East</t>
        </is>
      </c>
      <c r="F78" t="inlineStr">
        <is>
          <t>Sanjay Roy</t>
        </is>
      </c>
      <c r="G78" t="inlineStr">
        <is>
          <t>Air Fryer</t>
        </is>
      </c>
      <c r="H78" t="n">
        <v>3</v>
      </c>
      <c r="I78" s="3" t="n">
        <v>15600</v>
      </c>
      <c r="J78" t="inlineStr">
        <is>
          <t>completed</t>
        </is>
      </c>
      <c r="K78">
        <f>PROPER(TRIM(C78))</f>
        <v/>
      </c>
      <c r="L78">
        <f>PROPER(TRIM(D78))</f>
        <v/>
      </c>
      <c r="M78">
        <f>VLOOKUP(G78,products!$A$2:$C$10,2,FALSE)</f>
        <v/>
      </c>
      <c r="N78" s="3">
        <f>XLOOKUP(G78,products!$A$2:$A$10,products!$C$2:$C$10,"UNKNOWN_ITEM")</f>
        <v/>
      </c>
      <c r="O78" s="3">
        <f>N78*H78</f>
        <v/>
      </c>
    </row>
    <row r="79">
      <c r="A79" t="n">
        <v>1078</v>
      </c>
      <c r="B79" s="2" t="inlineStr">
        <is>
          <t>2026-11</t>
        </is>
      </c>
      <c r="C79" t="inlineStr">
        <is>
          <t>RAHUL</t>
        </is>
      </c>
      <c r="D79" t="inlineStr">
        <is>
          <t>VERMA</t>
        </is>
      </c>
      <c r="E79" t="inlineStr">
        <is>
          <t>East</t>
        </is>
      </c>
      <c r="F79" t="inlineStr">
        <is>
          <t>Sanjay Roy</t>
        </is>
      </c>
      <c r="G79" t="inlineStr">
        <is>
          <t>Cotton Kurta</t>
        </is>
      </c>
      <c r="H79" t="n">
        <v>1</v>
      </c>
      <c r="I79" s="3" t="n">
        <v>1400</v>
      </c>
      <c r="J79" t="inlineStr">
        <is>
          <t>pending</t>
        </is>
      </c>
      <c r="K79">
        <f>PROPER(TRIM(C79))</f>
        <v/>
      </c>
      <c r="L79">
        <f>PROPER(TRIM(D79))</f>
        <v/>
      </c>
      <c r="M79">
        <f>VLOOKUP(G79,products!$A$2:$C$10,2,FALSE)</f>
        <v/>
      </c>
      <c r="N79" s="3">
        <f>XLOOKUP(G79,products!$A$2:$A$10,products!$C$2:$C$10,"UNKNOWN_ITEM")</f>
        <v/>
      </c>
      <c r="O79" s="3">
        <f>N79*H79</f>
        <v/>
      </c>
    </row>
    <row r="80">
      <c r="A80" t="n">
        <v>1079</v>
      </c>
      <c r="B80" s="2" t="inlineStr">
        <is>
          <t>2026-11</t>
        </is>
      </c>
      <c r="C80" t="inlineStr">
        <is>
          <t>Sneha</t>
        </is>
      </c>
      <c r="D80" t="inlineStr">
        <is>
          <t>Das</t>
        </is>
      </c>
      <c r="E80" t="inlineStr">
        <is>
          <t>West</t>
        </is>
      </c>
      <c r="F80" t="inlineStr">
        <is>
          <t>Neha Kulkarni</t>
        </is>
      </c>
      <c r="G80" t="inlineStr">
        <is>
          <t>Cotton Kurta</t>
        </is>
      </c>
      <c r="H80" t="n">
        <v>1</v>
      </c>
      <c r="I80" s="3" t="n">
        <v>1400</v>
      </c>
      <c r="J80" t="inlineStr">
        <is>
          <t>completed</t>
        </is>
      </c>
      <c r="K80">
        <f>PROPER(TRIM(C80))</f>
        <v/>
      </c>
      <c r="L80">
        <f>PROPER(TRIM(D80))</f>
        <v/>
      </c>
      <c r="M80">
        <f>VLOOKUP(G80,products!$A$2:$C$10,2,FALSE)</f>
        <v/>
      </c>
      <c r="N80" s="3">
        <f>XLOOKUP(G80,products!$A$2:$A$10,products!$C$2:$C$10,"UNKNOWN_ITEM")</f>
        <v/>
      </c>
      <c r="O80" s="3">
        <f>N80*H80</f>
        <v/>
      </c>
    </row>
    <row r="81">
      <c r="A81" t="n">
        <v>1080</v>
      </c>
      <c r="B81" s="2" t="inlineStr">
        <is>
          <t>2026-11</t>
        </is>
      </c>
      <c r="C81" t="inlineStr">
        <is>
          <t>Harsh</t>
        </is>
      </c>
      <c r="D81" t="inlineStr">
        <is>
          <t>Chopra</t>
        </is>
      </c>
      <c r="E81" t="inlineStr">
        <is>
          <t>East</t>
        </is>
      </c>
      <c r="F81" t="inlineStr">
        <is>
          <t>Sanjay Roy</t>
        </is>
      </c>
      <c r="G81" t="inlineStr">
        <is>
          <t>Bluetooth Speaker</t>
        </is>
      </c>
      <c r="H81" t="n">
        <v>1</v>
      </c>
      <c r="I81" s="3" t="n">
        <v>2800</v>
      </c>
      <c r="J81" t="inlineStr">
        <is>
          <t>completed</t>
        </is>
      </c>
      <c r="K81">
        <f>PROPER(TRIM(C81))</f>
        <v/>
      </c>
      <c r="L81">
        <f>PROPER(TRIM(D81))</f>
        <v/>
      </c>
      <c r="M81">
        <f>VLOOKUP(G81,products!$A$2:$C$10,2,FALSE)</f>
        <v/>
      </c>
      <c r="N81" s="3">
        <f>XLOOKUP(G81,products!$A$2:$A$10,products!$C$2:$C$10,"UNKNOWN_ITEM")</f>
        <v/>
      </c>
      <c r="O81" s="3">
        <f>N81*H81</f>
        <v/>
      </c>
    </row>
    <row r="82">
      <c r="A82" t="n">
        <v>1081</v>
      </c>
      <c r="B82" s="2" t="inlineStr">
        <is>
          <t>2026-11</t>
        </is>
      </c>
      <c r="C82" t="inlineStr">
        <is>
          <t xml:space="preserve">  Vikram</t>
        </is>
      </c>
      <c r="D82" t="inlineStr">
        <is>
          <t xml:space="preserve">Singh </t>
        </is>
      </c>
      <c r="E82" t="inlineStr">
        <is>
          <t>North</t>
        </is>
      </c>
      <c r="F82" t="inlineStr">
        <is>
          <t>Arjun Mehta</t>
        </is>
      </c>
      <c r="G82" t="inlineStr">
        <is>
          <t>Wireless Earbuds</t>
        </is>
      </c>
      <c r="H82" t="n">
        <v>2</v>
      </c>
      <c r="I82" s="3" t="n">
        <v>6400</v>
      </c>
      <c r="J82" t="inlineStr">
        <is>
          <t>completed</t>
        </is>
      </c>
      <c r="K82">
        <f>PROPER(TRIM(C82))</f>
        <v/>
      </c>
      <c r="L82">
        <f>PROPER(TRIM(D82))</f>
        <v/>
      </c>
      <c r="M82">
        <f>VLOOKUP(G82,products!$A$2:$C$10,2,FALSE)</f>
        <v/>
      </c>
      <c r="N82" s="3">
        <f>XLOOKUP(G82,products!$A$2:$A$10,products!$C$2:$C$10,"UNKNOWN_ITEM")</f>
        <v/>
      </c>
      <c r="O82" s="3">
        <f>N82*H82</f>
        <v/>
      </c>
    </row>
    <row r="83">
      <c r="A83" t="n">
        <v>1082</v>
      </c>
      <c r="B83" s="2" t="inlineStr">
        <is>
          <t>2026-11</t>
        </is>
      </c>
      <c r="C83" t="inlineStr">
        <is>
          <t xml:space="preserve">karthik </t>
        </is>
      </c>
      <c r="D83" t="inlineStr">
        <is>
          <t>nair</t>
        </is>
      </c>
      <c r="E83" t="inlineStr">
        <is>
          <t>East</t>
        </is>
      </c>
      <c r="F83" t="inlineStr">
        <is>
          <t>Sanjay Roy</t>
        </is>
      </c>
      <c r="G83" t="inlineStr">
        <is>
          <t>Running Shoes</t>
        </is>
      </c>
      <c r="H83" t="n">
        <v>3</v>
      </c>
      <c r="I83" s="3" t="n">
        <v>10800</v>
      </c>
      <c r="J83" t="inlineStr">
        <is>
          <t>disputed</t>
        </is>
      </c>
      <c r="K83">
        <f>PROPER(TRIM(C83))</f>
        <v/>
      </c>
      <c r="L83">
        <f>PROPER(TRIM(D83))</f>
        <v/>
      </c>
      <c r="M83">
        <f>VLOOKUP(G83,products!$A$2:$C$10,2,FALSE)</f>
        <v/>
      </c>
      <c r="N83" s="3">
        <f>XLOOKUP(G83,products!$A$2:$A$10,products!$C$2:$C$10,"UNKNOWN_ITEM")</f>
        <v/>
      </c>
      <c r="O83" s="3">
        <f>N83*H83</f>
        <v/>
      </c>
    </row>
    <row r="84">
      <c r="A84" t="n">
        <v>1083</v>
      </c>
      <c r="B84" s="2" t="inlineStr">
        <is>
          <t>2026-11</t>
        </is>
      </c>
      <c r="C84" t="inlineStr">
        <is>
          <t>Lakshmi</t>
        </is>
      </c>
      <c r="D84" t="inlineStr">
        <is>
          <t>Kapoor</t>
        </is>
      </c>
      <c r="E84" t="inlineStr">
        <is>
          <t>South</t>
        </is>
      </c>
      <c r="F84" t="inlineStr">
        <is>
          <t>Kavya Nair</t>
        </is>
      </c>
      <c r="G84" t="inlineStr">
        <is>
          <t>Air Fryer</t>
        </is>
      </c>
      <c r="H84" t="n">
        <v>2</v>
      </c>
      <c r="I84" s="3" t="n">
        <v>10400</v>
      </c>
      <c r="J84" t="inlineStr">
        <is>
          <t>completed</t>
        </is>
      </c>
      <c r="K84">
        <f>PROPER(TRIM(C84))</f>
        <v/>
      </c>
      <c r="L84">
        <f>PROPER(TRIM(D84))</f>
        <v/>
      </c>
      <c r="M84">
        <f>VLOOKUP(G84,products!$A$2:$C$10,2,FALSE)</f>
        <v/>
      </c>
      <c r="N84" s="3">
        <f>XLOOKUP(G84,products!$A$2:$A$10,products!$C$2:$C$10,"UNKNOWN_ITEM")</f>
        <v/>
      </c>
      <c r="O84" s="3">
        <f>N84*H84</f>
        <v/>
      </c>
    </row>
    <row r="85">
      <c r="A85" t="n">
        <v>1084</v>
      </c>
      <c r="B85" s="2" t="inlineStr">
        <is>
          <t>2026-11</t>
        </is>
      </c>
      <c r="C85" t="inlineStr">
        <is>
          <t>Lakshmi</t>
        </is>
      </c>
      <c r="D85" t="inlineStr">
        <is>
          <t>Kapoor</t>
        </is>
      </c>
      <c r="E85" t="inlineStr">
        <is>
          <t>South</t>
        </is>
      </c>
      <c r="F85" t="inlineStr">
        <is>
          <t>Kavya Nair</t>
        </is>
      </c>
      <c r="G85" t="inlineStr">
        <is>
          <t>Running Shoes</t>
        </is>
      </c>
      <c r="H85" t="n">
        <v>1</v>
      </c>
      <c r="I85" s="3" t="n">
        <v>3600</v>
      </c>
      <c r="J85" t="inlineStr">
        <is>
          <t>completed</t>
        </is>
      </c>
      <c r="K85">
        <f>PROPER(TRIM(C85))</f>
        <v/>
      </c>
      <c r="L85">
        <f>PROPER(TRIM(D85))</f>
        <v/>
      </c>
      <c r="M85">
        <f>VLOOKUP(G85,products!$A$2:$C$10,2,FALSE)</f>
        <v/>
      </c>
      <c r="N85" s="3">
        <f>XLOOKUP(G85,products!$A$2:$A$10,products!$C$2:$C$10,"UNKNOWN_ITEM")</f>
        <v/>
      </c>
      <c r="O85" s="3">
        <f>N85*H85</f>
        <v/>
      </c>
    </row>
    <row r="86">
      <c r="A86" t="n">
        <v>1085</v>
      </c>
      <c r="B86" s="2" t="inlineStr">
        <is>
          <t>2026-11</t>
        </is>
      </c>
      <c r="C86" t="inlineStr">
        <is>
          <t>aarav</t>
        </is>
      </c>
      <c r="D86" t="inlineStr">
        <is>
          <t>Sharma</t>
        </is>
      </c>
      <c r="E86" t="inlineStr">
        <is>
          <t>North</t>
        </is>
      </c>
      <c r="F86" t="inlineStr">
        <is>
          <t>Arjun Mehta</t>
        </is>
      </c>
      <c r="G86" t="inlineStr">
        <is>
          <t>Wireless Earbuds</t>
        </is>
      </c>
      <c r="H86" t="n">
        <v>1</v>
      </c>
      <c r="I86" s="3" t="n">
        <v>3200</v>
      </c>
      <c r="J86" t="inlineStr">
        <is>
          <t>completed</t>
        </is>
      </c>
      <c r="K86">
        <f>PROPER(TRIM(C86))</f>
        <v/>
      </c>
      <c r="L86">
        <f>PROPER(TRIM(D86))</f>
        <v/>
      </c>
      <c r="M86">
        <f>VLOOKUP(G86,products!$A$2:$C$10,2,FALSE)</f>
        <v/>
      </c>
      <c r="N86" s="3">
        <f>XLOOKUP(G86,products!$A$2:$A$10,products!$C$2:$C$10,"UNKNOWN_ITEM")</f>
        <v/>
      </c>
      <c r="O86" s="3">
        <f>N86*H86</f>
        <v/>
      </c>
    </row>
    <row r="87">
      <c r="A87" t="n">
        <v>1086</v>
      </c>
      <c r="B87" s="2" t="inlineStr">
        <is>
          <t>2026-11</t>
        </is>
      </c>
      <c r="C87" t="inlineStr">
        <is>
          <t>Manoj</t>
        </is>
      </c>
      <c r="D87" t="inlineStr">
        <is>
          <t>Desai</t>
        </is>
      </c>
      <c r="E87" t="inlineStr">
        <is>
          <t>North</t>
        </is>
      </c>
      <c r="F87" t="inlineStr">
        <is>
          <t>Arjun Mehta</t>
        </is>
      </c>
      <c r="G87" t="inlineStr">
        <is>
          <t>Running Shoes</t>
        </is>
      </c>
      <c r="H87" t="n">
        <v>2</v>
      </c>
      <c r="I87" s="3" t="n">
        <v>7200</v>
      </c>
      <c r="J87" t="inlineStr">
        <is>
          <t>completed</t>
        </is>
      </c>
      <c r="K87">
        <f>PROPER(TRIM(C87))</f>
        <v/>
      </c>
      <c r="L87">
        <f>PROPER(TRIM(D87))</f>
        <v/>
      </c>
      <c r="M87">
        <f>VLOOKUP(G87,products!$A$2:$C$10,2,FALSE)</f>
        <v/>
      </c>
      <c r="N87" s="3">
        <f>XLOOKUP(G87,products!$A$2:$A$10,products!$C$2:$C$10,"UNKNOWN_ITEM")</f>
        <v/>
      </c>
      <c r="O87" s="3">
        <f>N87*H87</f>
        <v/>
      </c>
    </row>
    <row r="88">
      <c r="A88" t="n">
        <v>1087</v>
      </c>
      <c r="B88" s="2" t="inlineStr">
        <is>
          <t>2026-11</t>
        </is>
      </c>
      <c r="C88" t="inlineStr">
        <is>
          <t>Manoj</t>
        </is>
      </c>
      <c r="D88" t="inlineStr">
        <is>
          <t>Desai</t>
        </is>
      </c>
      <c r="E88" t="inlineStr">
        <is>
          <t>North</t>
        </is>
      </c>
      <c r="F88" t="inlineStr">
        <is>
          <t>Arjun Mehta</t>
        </is>
      </c>
      <c r="G88" t="inlineStr">
        <is>
          <t>Smart Watch</t>
        </is>
      </c>
      <c r="H88" t="n">
        <v>1</v>
      </c>
      <c r="I88" s="3" t="n">
        <v>4500</v>
      </c>
      <c r="J88" t="inlineStr">
        <is>
          <t>completed</t>
        </is>
      </c>
      <c r="K88">
        <f>PROPER(TRIM(C88))</f>
        <v/>
      </c>
      <c r="L88">
        <f>PROPER(TRIM(D88))</f>
        <v/>
      </c>
      <c r="M88">
        <f>VLOOKUP(G88,products!$A$2:$C$10,2,FALSE)</f>
        <v/>
      </c>
      <c r="N88" s="3">
        <f>XLOOKUP(G88,products!$A$2:$A$10,products!$C$2:$C$10,"UNKNOWN_ITEM")</f>
        <v/>
      </c>
      <c r="O88" s="3">
        <f>N88*H88</f>
        <v/>
      </c>
    </row>
    <row r="89">
      <c r="A89" t="n">
        <v>1088</v>
      </c>
      <c r="B89" s="2" t="inlineStr">
        <is>
          <t>2026-11</t>
        </is>
      </c>
      <c r="C89" t="inlineStr">
        <is>
          <t>Sneha</t>
        </is>
      </c>
      <c r="D89" t="inlineStr">
        <is>
          <t>Das</t>
        </is>
      </c>
      <c r="E89" t="inlineStr">
        <is>
          <t>West</t>
        </is>
      </c>
      <c r="F89" t="inlineStr">
        <is>
          <t>Neha Kulkarni</t>
        </is>
      </c>
      <c r="G89" t="inlineStr">
        <is>
          <t>Wireless Earbuds</t>
        </is>
      </c>
      <c r="H89" t="n">
        <v>1</v>
      </c>
      <c r="I89" s="3" t="n">
        <v>3200</v>
      </c>
      <c r="J89" t="inlineStr">
        <is>
          <t>completed</t>
        </is>
      </c>
      <c r="K89">
        <f>PROPER(TRIM(C89))</f>
        <v/>
      </c>
      <c r="L89">
        <f>PROPER(TRIM(D89))</f>
        <v/>
      </c>
      <c r="M89">
        <f>VLOOKUP(G89,products!$A$2:$C$10,2,FALSE)</f>
        <v/>
      </c>
      <c r="N89" s="3">
        <f>XLOOKUP(G89,products!$A$2:$A$10,products!$C$2:$C$10,"UNKNOWN_ITEM")</f>
        <v/>
      </c>
      <c r="O89" s="3">
        <f>N89*H89</f>
        <v/>
      </c>
    </row>
    <row r="90">
      <c r="A90" t="n">
        <v>1089</v>
      </c>
      <c r="B90" s="2" t="inlineStr">
        <is>
          <t>2026-11</t>
        </is>
      </c>
      <c r="C90" t="inlineStr">
        <is>
          <t>MEERA</t>
        </is>
      </c>
      <c r="D90" t="inlineStr">
        <is>
          <t xml:space="preserve">  Patil</t>
        </is>
      </c>
      <c r="E90" t="inlineStr">
        <is>
          <t>South</t>
        </is>
      </c>
      <c r="F90" t="inlineStr">
        <is>
          <t>Kavya Nair</t>
        </is>
      </c>
      <c r="G90" t="inlineStr">
        <is>
          <t>Table Lamp</t>
        </is>
      </c>
      <c r="H90" t="n">
        <v>1</v>
      </c>
      <c r="I90" s="3" t="n">
        <v>1100</v>
      </c>
      <c r="J90" t="inlineStr">
        <is>
          <t>completed</t>
        </is>
      </c>
      <c r="K90">
        <f>PROPER(TRIM(C90))</f>
        <v/>
      </c>
      <c r="L90">
        <f>PROPER(TRIM(D90))</f>
        <v/>
      </c>
      <c r="M90">
        <f>VLOOKUP(G90,products!$A$2:$C$10,2,FALSE)</f>
        <v/>
      </c>
      <c r="N90" s="3">
        <f>XLOOKUP(G90,products!$A$2:$A$10,products!$C$2:$C$10,"UNKNOWN_ITEM")</f>
        <v/>
      </c>
      <c r="O90" s="3">
        <f>N90*H90</f>
        <v/>
      </c>
    </row>
    <row r="91">
      <c r="A91" t="n">
        <v>1090</v>
      </c>
      <c r="B91" s="2" t="inlineStr">
        <is>
          <t>2026-11</t>
        </is>
      </c>
      <c r="C91" t="inlineStr">
        <is>
          <t xml:space="preserve">karthik </t>
        </is>
      </c>
      <c r="D91" t="inlineStr">
        <is>
          <t>nair</t>
        </is>
      </c>
      <c r="E91" t="inlineStr">
        <is>
          <t>East</t>
        </is>
      </c>
      <c r="F91" t="inlineStr">
        <is>
          <t>Sanjay Roy</t>
        </is>
      </c>
      <c r="G91" t="inlineStr">
        <is>
          <t>Wireless Earbuds</t>
        </is>
      </c>
      <c r="H91" t="n">
        <v>3</v>
      </c>
      <c r="I91" s="3" t="n">
        <v>9600</v>
      </c>
      <c r="J91" t="inlineStr">
        <is>
          <t>completed</t>
        </is>
      </c>
      <c r="K91">
        <f>PROPER(TRIM(C91))</f>
        <v/>
      </c>
      <c r="L91">
        <f>PROPER(TRIM(D91))</f>
        <v/>
      </c>
      <c r="M91">
        <f>VLOOKUP(G91,products!$A$2:$C$10,2,FALSE)</f>
        <v/>
      </c>
      <c r="N91" s="3">
        <f>XLOOKUP(G91,products!$A$2:$A$10,products!$C$2:$C$10,"UNKNOWN_ITEM")</f>
        <v/>
      </c>
      <c r="O91" s="3">
        <f>N91*H91</f>
        <v/>
      </c>
    </row>
  </sheetData>
  <autoFilter ref="A1:R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unit_price</t>
        </is>
      </c>
    </row>
    <row r="2">
      <c r="A2" t="inlineStr">
        <is>
          <t>Air Fryer</t>
        </is>
      </c>
      <c r="B2" t="inlineStr">
        <is>
          <t>Home</t>
        </is>
      </c>
      <c r="C2" t="n">
        <v>5200</v>
      </c>
    </row>
    <row r="3">
      <c r="A3" t="inlineStr">
        <is>
          <t>Bedsheet Set</t>
        </is>
      </c>
      <c r="B3" t="inlineStr">
        <is>
          <t>Home</t>
        </is>
      </c>
      <c r="C3" t="n">
        <v>1900</v>
      </c>
    </row>
    <row r="4">
      <c r="A4" t="inlineStr">
        <is>
          <t>Bluetooth Speaker</t>
        </is>
      </c>
      <c r="B4" t="inlineStr">
        <is>
          <t>Electronics</t>
        </is>
      </c>
      <c r="C4" t="n">
        <v>2800</v>
      </c>
    </row>
    <row r="5">
      <c r="A5" t="inlineStr">
        <is>
          <t>Cotton Kurta</t>
        </is>
      </c>
      <c r="B5" t="inlineStr">
        <is>
          <t>Apparel</t>
        </is>
      </c>
      <c r="C5" t="n">
        <v>1400</v>
      </c>
    </row>
    <row r="6">
      <c r="A6" t="inlineStr">
        <is>
          <t>Denim Jacket</t>
        </is>
      </c>
      <c r="B6" t="inlineStr">
        <is>
          <t>Apparel</t>
        </is>
      </c>
      <c r="C6" t="n">
        <v>2500</v>
      </c>
    </row>
    <row r="7">
      <c r="A7" t="inlineStr">
        <is>
          <t>Running Shoes</t>
        </is>
      </c>
      <c r="B7" t="inlineStr">
        <is>
          <t>Apparel</t>
        </is>
      </c>
      <c r="C7" t="n">
        <v>3600</v>
      </c>
    </row>
    <row r="8">
      <c r="A8" t="inlineStr">
        <is>
          <t>Smart Watch</t>
        </is>
      </c>
      <c r="B8" t="inlineStr">
        <is>
          <t>Electronics</t>
        </is>
      </c>
      <c r="C8" t="n">
        <v>4500</v>
      </c>
    </row>
    <row r="9">
      <c r="A9" t="inlineStr">
        <is>
          <t>Table Lamp</t>
        </is>
      </c>
      <c r="B9" t="inlineStr">
        <is>
          <t>Home</t>
        </is>
      </c>
      <c r="C9" t="n">
        <v>1100</v>
      </c>
    </row>
    <row r="10">
      <c r="A10" t="inlineStr">
        <is>
          <t>Wireless Earbuds</t>
        </is>
      </c>
      <c r="B10" t="inlineStr">
        <is>
          <t>Electronics</t>
        </is>
      </c>
      <c r="C10" t="n">
        <v>3200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15" customWidth="1" min="6" max="6"/>
    <col width="19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9" customWidth="1" min="15" max="15"/>
    <col width="18" customWidth="1" min="16" max="16"/>
    <col width="12" customWidth="1" min="17" max="17"/>
    <col width="32" customWidth="1" min="18" max="18"/>
    <col width="15" customWidth="1" min="19" max="19"/>
    <col width="19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order_id</t>
        </is>
      </c>
      <c r="B1" s="1" t="inlineStr">
        <is>
          <t>order_month</t>
        </is>
      </c>
      <c r="C1" s="1" t="inlineStr">
        <is>
          <t>clean_first_name</t>
        </is>
      </c>
      <c r="D1" s="1" t="inlineStr">
        <is>
          <t>clean_last_name</t>
        </is>
      </c>
      <c r="E1" s="1" t="inlineStr">
        <is>
          <t>region</t>
        </is>
      </c>
      <c r="F1" s="1" t="inlineStr">
        <is>
          <t>rep_name</t>
        </is>
      </c>
      <c r="G1" s="1" t="inlineStr">
        <is>
          <t>item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amount</t>
        </is>
      </c>
      <c r="L1" s="1" t="inlineStr">
        <is>
          <t>revenue_calc</t>
        </is>
      </c>
      <c r="M1" s="1" t="inlineStr">
        <is>
          <t>status</t>
        </is>
      </c>
      <c r="N1" s="1" t="n"/>
      <c r="O1" s="4" t="inlineStr">
        <is>
          <t>Amount statistics</t>
        </is>
      </c>
      <c r="P1" s="1" t="n"/>
      <c r="Q1" s="1" t="n"/>
      <c r="R1" s="4" t="inlineStr">
        <is>
          <t>Pivot (i): Sum of amount by category and region</t>
        </is>
      </c>
      <c r="S1" s="1" t="n"/>
      <c r="T1" s="1" t="n"/>
      <c r="U1" s="1" t="n"/>
      <c r="V1" s="1" t="n"/>
      <c r="W1" s="1" t="n"/>
    </row>
    <row r="2">
      <c r="A2" t="n">
        <v>1061</v>
      </c>
      <c r="B2" s="2" t="inlineStr">
        <is>
          <t>2026-11</t>
        </is>
      </c>
      <c r="C2" t="inlineStr">
        <is>
          <t>Nisha</t>
        </is>
      </c>
      <c r="D2" t="inlineStr">
        <is>
          <t>Mishra</t>
        </is>
      </c>
      <c r="E2" t="inlineStr">
        <is>
          <t>West</t>
        </is>
      </c>
      <c r="F2" t="inlineStr">
        <is>
          <t>Neha Kulkarni</t>
        </is>
      </c>
      <c r="G2" t="inlineStr">
        <is>
          <t>Air Fryer</t>
        </is>
      </c>
      <c r="H2" t="inlineStr">
        <is>
          <t>Home</t>
        </is>
      </c>
      <c r="I2" s="3" t="n">
        <v>5200</v>
      </c>
      <c r="J2" t="n">
        <v>3</v>
      </c>
      <c r="K2" s="3" t="n">
        <v>15600</v>
      </c>
      <c r="L2" s="3" t="n">
        <v>15600</v>
      </c>
      <c r="M2" t="inlineStr">
        <is>
          <t>completed</t>
        </is>
      </c>
      <c r="O2" t="inlineStr">
        <is>
          <t>COUNT</t>
        </is>
      </c>
      <c r="P2">
        <f>COUNT(K2:K64)</f>
        <v/>
      </c>
      <c r="R2" t="inlineStr">
        <is>
          <t>category</t>
        </is>
      </c>
      <c r="S2" t="inlineStr">
        <is>
          <t>East</t>
        </is>
      </c>
      <c r="T2" t="inlineStr">
        <is>
          <t>North</t>
        </is>
      </c>
      <c r="U2" t="inlineStr">
        <is>
          <t>South</t>
        </is>
      </c>
      <c r="V2" t="inlineStr">
        <is>
          <t>West</t>
        </is>
      </c>
      <c r="W2" t="inlineStr">
        <is>
          <t>Grand Total</t>
        </is>
      </c>
    </row>
    <row r="3">
      <c r="A3" t="n">
        <v>1065</v>
      </c>
      <c r="B3" s="2" t="inlineStr">
        <is>
          <t>2026-11</t>
        </is>
      </c>
      <c r="C3" t="inlineStr">
        <is>
          <t>Tanvi</t>
        </is>
      </c>
      <c r="D3" t="inlineStr">
        <is>
          <t>Thakur</t>
        </is>
      </c>
      <c r="E3" t="inlineStr">
        <is>
          <t>South</t>
        </is>
      </c>
      <c r="F3" t="inlineStr">
        <is>
          <t>Kavya Nair</t>
        </is>
      </c>
      <c r="G3" t="inlineStr">
        <is>
          <t>Air Fryer</t>
        </is>
      </c>
      <c r="H3" t="inlineStr">
        <is>
          <t>Home</t>
        </is>
      </c>
      <c r="I3" s="3" t="n">
        <v>5200</v>
      </c>
      <c r="J3" t="n">
        <v>3</v>
      </c>
      <c r="K3" s="3" t="n">
        <v>15600</v>
      </c>
      <c r="L3" s="3" t="n">
        <v>15600</v>
      </c>
      <c r="M3" t="inlineStr">
        <is>
          <t>completed</t>
        </is>
      </c>
      <c r="O3" t="inlineStr">
        <is>
          <t>SUM</t>
        </is>
      </c>
      <c r="P3">
        <f>SUM(K2:K64)</f>
        <v/>
      </c>
      <c r="R3" t="inlineStr">
        <is>
          <t>Apparel</t>
        </is>
      </c>
      <c r="S3" t="n">
        <v>10600</v>
      </c>
      <c r="T3" t="n">
        <v>19400</v>
      </c>
      <c r="U3" t="n">
        <v>10000</v>
      </c>
      <c r="V3" t="n">
        <v>37500</v>
      </c>
      <c r="W3" t="n">
        <v>77500</v>
      </c>
    </row>
    <row r="4">
      <c r="A4" t="n">
        <v>1069</v>
      </c>
      <c r="B4" s="2" t="inlineStr">
        <is>
          <t>2026-11</t>
        </is>
      </c>
      <c r="C4" t="inlineStr">
        <is>
          <t>Aditya</t>
        </is>
      </c>
      <c r="D4" t="inlineStr">
        <is>
          <t>Rao</t>
        </is>
      </c>
      <c r="E4" t="inlineStr">
        <is>
          <t>East</t>
        </is>
      </c>
      <c r="F4" t="inlineStr">
        <is>
          <t>Sanjay Roy</t>
        </is>
      </c>
      <c r="G4" t="inlineStr">
        <is>
          <t>Air Fryer</t>
        </is>
      </c>
      <c r="H4" t="inlineStr">
        <is>
          <t>Home</t>
        </is>
      </c>
      <c r="I4" s="3" t="n">
        <v>5200</v>
      </c>
      <c r="J4" t="n">
        <v>3</v>
      </c>
      <c r="K4" s="3" t="n">
        <v>15600</v>
      </c>
      <c r="L4" s="3" t="n">
        <v>15600</v>
      </c>
      <c r="M4" t="inlineStr">
        <is>
          <t>completed</t>
        </is>
      </c>
      <c r="O4" t="inlineStr">
        <is>
          <t>AVERAGE</t>
        </is>
      </c>
      <c r="P4">
        <f>AVERAGE(K2:K64)</f>
        <v/>
      </c>
      <c r="R4" t="inlineStr">
        <is>
          <t>Electronics</t>
        </is>
      </c>
      <c r="S4" t="n">
        <v>21400</v>
      </c>
      <c r="T4" t="n">
        <v>73400</v>
      </c>
      <c r="U4" t="n">
        <v>28700</v>
      </c>
      <c r="V4" t="n">
        <v>18800</v>
      </c>
      <c r="W4" t="n">
        <v>142300</v>
      </c>
    </row>
    <row r="5">
      <c r="A5" t="n">
        <v>1077</v>
      </c>
      <c r="B5" s="2" t="inlineStr">
        <is>
          <t>2026-11</t>
        </is>
      </c>
      <c r="C5" t="inlineStr">
        <is>
          <t>Rahul</t>
        </is>
      </c>
      <c r="D5" t="inlineStr">
        <is>
          <t>Verma</t>
        </is>
      </c>
      <c r="E5" t="inlineStr">
        <is>
          <t>East</t>
        </is>
      </c>
      <c r="F5" t="inlineStr">
        <is>
          <t>Sanjay Roy</t>
        </is>
      </c>
      <c r="G5" t="inlineStr">
        <is>
          <t>Air Fryer</t>
        </is>
      </c>
      <c r="H5" t="inlineStr">
        <is>
          <t>Home</t>
        </is>
      </c>
      <c r="I5" s="3" t="n">
        <v>5200</v>
      </c>
      <c r="J5" t="n">
        <v>3</v>
      </c>
      <c r="K5" s="3" t="n">
        <v>15600</v>
      </c>
      <c r="L5" s="3" t="n">
        <v>15600</v>
      </c>
      <c r="M5" t="inlineStr">
        <is>
          <t>completed</t>
        </is>
      </c>
      <c r="O5" t="inlineStr">
        <is>
          <t>MIN</t>
        </is>
      </c>
      <c r="P5">
        <f>MIN(K2:K64)</f>
        <v/>
      </c>
      <c r="R5" t="inlineStr">
        <is>
          <t>Home</t>
        </is>
      </c>
      <c r="S5" t="n">
        <v>37500</v>
      </c>
      <c r="T5" t="n">
        <v>26500</v>
      </c>
      <c r="U5" t="n">
        <v>43800</v>
      </c>
      <c r="V5" t="n">
        <v>18600</v>
      </c>
      <c r="W5" t="n">
        <v>126400</v>
      </c>
    </row>
    <row r="6">
      <c r="A6" t="n">
        <v>1006</v>
      </c>
      <c r="B6" s="2" t="inlineStr">
        <is>
          <t>2026-09</t>
        </is>
      </c>
      <c r="C6" t="inlineStr">
        <is>
          <t>Vikram</t>
        </is>
      </c>
      <c r="D6" t="inlineStr">
        <is>
          <t>Singh</t>
        </is>
      </c>
      <c r="E6" t="inlineStr">
        <is>
          <t>North</t>
        </is>
      </c>
      <c r="F6" t="inlineStr">
        <is>
          <t>Arjun Mehta</t>
        </is>
      </c>
      <c r="G6" t="inlineStr">
        <is>
          <t>Smart Watch</t>
        </is>
      </c>
      <c r="H6" t="inlineStr">
        <is>
          <t>Electronics</t>
        </is>
      </c>
      <c r="I6" s="3" t="n">
        <v>4500</v>
      </c>
      <c r="J6" t="n">
        <v>3</v>
      </c>
      <c r="K6" s="3" t="n">
        <v>13500</v>
      </c>
      <c r="L6" s="3" t="n">
        <v>13500</v>
      </c>
      <c r="M6" t="inlineStr">
        <is>
          <t>completed</t>
        </is>
      </c>
      <c r="O6" t="inlineStr">
        <is>
          <t>MAX</t>
        </is>
      </c>
      <c r="P6">
        <f>MAX(K2:K64)</f>
        <v/>
      </c>
      <c r="R6" t="inlineStr">
        <is>
          <t>Grand Total</t>
        </is>
      </c>
      <c r="S6" t="n">
        <v>69500</v>
      </c>
      <c r="T6" t="n">
        <v>119300</v>
      </c>
      <c r="U6" t="n">
        <v>82500</v>
      </c>
      <c r="V6" t="n">
        <v>74900</v>
      </c>
      <c r="W6" t="n">
        <v>346200</v>
      </c>
    </row>
    <row r="7">
      <c r="A7" t="n">
        <v>1040</v>
      </c>
      <c r="B7" s="2" t="inlineStr">
        <is>
          <t>2026-10</t>
        </is>
      </c>
      <c r="C7" t="inlineStr">
        <is>
          <t>Aarav</t>
        </is>
      </c>
      <c r="D7" t="inlineStr">
        <is>
          <t>Sharma</t>
        </is>
      </c>
      <c r="E7" t="inlineStr">
        <is>
          <t>North</t>
        </is>
      </c>
      <c r="F7" t="inlineStr">
        <is>
          <t>Arjun Mehta</t>
        </is>
      </c>
      <c r="G7" t="inlineStr">
        <is>
          <t>Smart Watch</t>
        </is>
      </c>
      <c r="H7" t="inlineStr">
        <is>
          <t>Electronics</t>
        </is>
      </c>
      <c r="I7" s="3" t="n">
        <v>4500</v>
      </c>
      <c r="J7" t="n">
        <v>3</v>
      </c>
      <c r="K7" s="3" t="n">
        <v>13500</v>
      </c>
      <c r="L7" s="3" t="n">
        <v>13500</v>
      </c>
      <c r="M7" t="inlineStr">
        <is>
          <t>completed</t>
        </is>
      </c>
    </row>
    <row r="8">
      <c r="A8" t="n">
        <v>1021</v>
      </c>
      <c r="B8" s="2" t="inlineStr">
        <is>
          <t>2026-09</t>
        </is>
      </c>
      <c r="C8" t="inlineStr">
        <is>
          <t>Manoj</t>
        </is>
      </c>
      <c r="D8" t="inlineStr">
        <is>
          <t>Desai</t>
        </is>
      </c>
      <c r="E8" t="inlineStr">
        <is>
          <t>North</t>
        </is>
      </c>
      <c r="F8" t="inlineStr">
        <is>
          <t>Arjun Mehta</t>
        </is>
      </c>
      <c r="G8" t="inlineStr">
        <is>
          <t>Air Fryer</t>
        </is>
      </c>
      <c r="H8" t="inlineStr">
        <is>
          <t>Home</t>
        </is>
      </c>
      <c r="I8" s="3" t="n">
        <v>5200</v>
      </c>
      <c r="J8" t="n">
        <v>2</v>
      </c>
      <c r="K8" s="3" t="n">
        <v>10400</v>
      </c>
      <c r="L8" s="3" t="n">
        <v>10400</v>
      </c>
      <c r="M8" t="inlineStr">
        <is>
          <t>completed</t>
        </is>
      </c>
    </row>
    <row r="9">
      <c r="A9" t="n">
        <v>1022</v>
      </c>
      <c r="B9" s="2" t="inlineStr">
        <is>
          <t>2026-09</t>
        </is>
      </c>
      <c r="C9" t="inlineStr">
        <is>
          <t>Vikram</t>
        </is>
      </c>
      <c r="D9" t="inlineStr">
        <is>
          <t>Singh</t>
        </is>
      </c>
      <c r="E9" t="inlineStr">
        <is>
          <t>North</t>
        </is>
      </c>
      <c r="F9" t="inlineStr">
        <is>
          <t>Arjun Mehta</t>
        </is>
      </c>
      <c r="G9" t="inlineStr">
        <is>
          <t>Air Fryer</t>
        </is>
      </c>
      <c r="H9" t="inlineStr">
        <is>
          <t>Home</t>
        </is>
      </c>
      <c r="I9" s="3" t="n">
        <v>5200</v>
      </c>
      <c r="J9" t="n">
        <v>2</v>
      </c>
      <c r="K9" s="3" t="n">
        <v>10400</v>
      </c>
      <c r="L9" s="3" t="n">
        <v>10400</v>
      </c>
      <c r="M9" t="inlineStr">
        <is>
          <t>completed</t>
        </is>
      </c>
      <c r="R9" t="inlineStr">
        <is>
          <t>Pivot (ii): Sum of amount and count of order_id by order_month</t>
        </is>
      </c>
    </row>
    <row r="10">
      <c r="A10" t="n">
        <v>1083</v>
      </c>
      <c r="B10" s="2" t="inlineStr">
        <is>
          <t>2026-11</t>
        </is>
      </c>
      <c r="C10" t="inlineStr">
        <is>
          <t>Lakshmi</t>
        </is>
      </c>
      <c r="D10" t="inlineStr">
        <is>
          <t>Kapoor</t>
        </is>
      </c>
      <c r="E10" t="inlineStr">
        <is>
          <t>South</t>
        </is>
      </c>
      <c r="F10" t="inlineStr">
        <is>
          <t>Kavya Nair</t>
        </is>
      </c>
      <c r="G10" t="inlineStr">
        <is>
          <t>Air Fryer</t>
        </is>
      </c>
      <c r="H10" t="inlineStr">
        <is>
          <t>Home</t>
        </is>
      </c>
      <c r="I10" s="3" t="n">
        <v>5200</v>
      </c>
      <c r="J10" t="n">
        <v>2</v>
      </c>
      <c r="K10" s="3" t="n">
        <v>10400</v>
      </c>
      <c r="L10" s="3" t="n">
        <v>10400</v>
      </c>
      <c r="M10" t="inlineStr">
        <is>
          <t>completed</t>
        </is>
      </c>
      <c r="R10" t="inlineStr">
        <is>
          <t>order_month</t>
        </is>
      </c>
      <c r="S10" t="inlineStr">
        <is>
          <t>Sum of amount</t>
        </is>
      </c>
      <c r="T10" t="inlineStr">
        <is>
          <t>Count of order_id</t>
        </is>
      </c>
    </row>
    <row r="11">
      <c r="A11" t="n">
        <v>1054</v>
      </c>
      <c r="B11" s="2" t="inlineStr">
        <is>
          <t>2026-10</t>
        </is>
      </c>
      <c r="C11" t="inlineStr">
        <is>
          <t>Manoj</t>
        </is>
      </c>
      <c r="D11" t="inlineStr">
        <is>
          <t>Desai</t>
        </is>
      </c>
      <c r="E11" t="inlineStr">
        <is>
          <t>North</t>
        </is>
      </c>
      <c r="F11" t="inlineStr">
        <is>
          <t>Arjun Mehta</t>
        </is>
      </c>
      <c r="G11" t="inlineStr">
        <is>
          <t>Wireless Earbuds</t>
        </is>
      </c>
      <c r="H11" t="inlineStr">
        <is>
          <t>Electronics</t>
        </is>
      </c>
      <c r="I11" s="3" t="n">
        <v>3200</v>
      </c>
      <c r="J11" t="n">
        <v>3</v>
      </c>
      <c r="K11" s="3" t="n">
        <v>9600</v>
      </c>
      <c r="L11" s="3" t="n">
        <v>9600</v>
      </c>
      <c r="M11" t="inlineStr">
        <is>
          <t>completed</t>
        </is>
      </c>
      <c r="R11" t="inlineStr">
        <is>
          <t>2026-09</t>
        </is>
      </c>
      <c r="S11" t="n">
        <v>98300</v>
      </c>
      <c r="T11" t="n">
        <v>19</v>
      </c>
    </row>
    <row r="12">
      <c r="A12" t="n">
        <v>1090</v>
      </c>
      <c r="B12" s="2" t="inlineStr">
        <is>
          <t>2026-11</t>
        </is>
      </c>
      <c r="C12" t="inlineStr">
        <is>
          <t>Karthik</t>
        </is>
      </c>
      <c r="D12" t="inlineStr">
        <is>
          <t>Nair</t>
        </is>
      </c>
      <c r="E12" t="inlineStr">
        <is>
          <t>East</t>
        </is>
      </c>
      <c r="F12" t="inlineStr">
        <is>
          <t>Sanjay Roy</t>
        </is>
      </c>
      <c r="G12" t="inlineStr">
        <is>
          <t>Wireless Earbuds</t>
        </is>
      </c>
      <c r="H12" t="inlineStr">
        <is>
          <t>Electronics</t>
        </is>
      </c>
      <c r="I12" s="3" t="n">
        <v>3200</v>
      </c>
      <c r="J12" t="n">
        <v>3</v>
      </c>
      <c r="K12" s="3" t="n">
        <v>9600</v>
      </c>
      <c r="L12" s="3" t="n">
        <v>9600</v>
      </c>
      <c r="M12" t="inlineStr">
        <is>
          <t>completed</t>
        </is>
      </c>
      <c r="R12" t="inlineStr">
        <is>
          <t>2026-10</t>
        </is>
      </c>
      <c r="S12" t="n">
        <v>93100</v>
      </c>
      <c r="T12" t="n">
        <v>20</v>
      </c>
    </row>
    <row r="13">
      <c r="A13" t="n">
        <v>1015</v>
      </c>
      <c r="B13" s="2" t="inlineStr">
        <is>
          <t>2026-09</t>
        </is>
      </c>
      <c r="C13" t="inlineStr">
        <is>
          <t>Lakshmi</t>
        </is>
      </c>
      <c r="D13" t="inlineStr">
        <is>
          <t>Kapoor</t>
        </is>
      </c>
      <c r="E13" t="inlineStr">
        <is>
          <t>South</t>
        </is>
      </c>
      <c r="F13" t="inlineStr">
        <is>
          <t>Kavya Nair</t>
        </is>
      </c>
      <c r="G13" t="inlineStr">
        <is>
          <t>Smart Watch</t>
        </is>
      </c>
      <c r="H13" t="inlineStr">
        <is>
          <t>Electronics</t>
        </is>
      </c>
      <c r="I13" s="3" t="n">
        <v>4500</v>
      </c>
      <c r="J13" t="n">
        <v>2</v>
      </c>
      <c r="K13" s="3" t="n">
        <v>9000</v>
      </c>
      <c r="L13" s="3" t="n">
        <v>9000</v>
      </c>
      <c r="M13" t="inlineStr">
        <is>
          <t>completed</t>
        </is>
      </c>
      <c r="R13" t="inlineStr">
        <is>
          <t>2026-11</t>
        </is>
      </c>
      <c r="S13" t="n">
        <v>154800</v>
      </c>
      <c r="T13" t="n">
        <v>24</v>
      </c>
    </row>
    <row r="14">
      <c r="A14" t="n">
        <v>1049</v>
      </c>
      <c r="B14" s="2" t="inlineStr">
        <is>
          <t>2026-10</t>
        </is>
      </c>
      <c r="C14" t="inlineStr">
        <is>
          <t>Aarav</t>
        </is>
      </c>
      <c r="D14" t="inlineStr">
        <is>
          <t>Sharma</t>
        </is>
      </c>
      <c r="E14" t="inlineStr">
        <is>
          <t>North</t>
        </is>
      </c>
      <c r="F14" t="inlineStr">
        <is>
          <t>Arjun Mehta</t>
        </is>
      </c>
      <c r="G14" t="inlineStr">
        <is>
          <t>Smart Watch</t>
        </is>
      </c>
      <c r="H14" t="inlineStr">
        <is>
          <t>Electronics</t>
        </is>
      </c>
      <c r="I14" s="3" t="n">
        <v>4500</v>
      </c>
      <c r="J14" t="n">
        <v>2</v>
      </c>
      <c r="K14" s="3" t="n">
        <v>9000</v>
      </c>
      <c r="L14" s="3" t="n">
        <v>9000</v>
      </c>
      <c r="M14" t="inlineStr">
        <is>
          <t>completed</t>
        </is>
      </c>
      <c r="R14" t="inlineStr">
        <is>
          <t>Grand Total</t>
        </is>
      </c>
      <c r="S14" t="n">
        <v>346200</v>
      </c>
      <c r="T14" t="n">
        <v>63</v>
      </c>
    </row>
    <row r="15">
      <c r="A15" t="n">
        <v>1016</v>
      </c>
      <c r="B15" s="2" t="inlineStr">
        <is>
          <t>2026-09</t>
        </is>
      </c>
      <c r="C15" t="inlineStr">
        <is>
          <t>Pooja</t>
        </is>
      </c>
      <c r="D15" t="inlineStr">
        <is>
          <t>Menon</t>
        </is>
      </c>
      <c r="E15" t="inlineStr">
        <is>
          <t>West</t>
        </is>
      </c>
      <c r="F15" t="inlineStr">
        <is>
          <t>Neha Kulkarni</t>
        </is>
      </c>
      <c r="G15" t="inlineStr">
        <is>
          <t>Denim Jacket</t>
        </is>
      </c>
      <c r="H15" t="inlineStr">
        <is>
          <t>Apparel</t>
        </is>
      </c>
      <c r="I15" s="3" t="n">
        <v>2500</v>
      </c>
      <c r="J15" t="n">
        <v>3</v>
      </c>
      <c r="K15" s="3" t="n">
        <v>7500</v>
      </c>
      <c r="L15" s="3" t="n">
        <v>7500</v>
      </c>
      <c r="M15" t="inlineStr">
        <is>
          <t>completed</t>
        </is>
      </c>
    </row>
    <row r="16">
      <c r="A16" t="n">
        <v>1019</v>
      </c>
      <c r="B16" s="2" t="inlineStr">
        <is>
          <t>2026-09</t>
        </is>
      </c>
      <c r="C16" t="inlineStr">
        <is>
          <t>Vikram</t>
        </is>
      </c>
      <c r="D16" t="inlineStr">
        <is>
          <t>Singh</t>
        </is>
      </c>
      <c r="E16" t="inlineStr">
        <is>
          <t>North</t>
        </is>
      </c>
      <c r="F16" t="inlineStr">
        <is>
          <t>Arjun Mehta</t>
        </is>
      </c>
      <c r="G16" t="inlineStr">
        <is>
          <t>Running Shoes</t>
        </is>
      </c>
      <c r="H16" t="inlineStr">
        <is>
          <t>Apparel</t>
        </is>
      </c>
      <c r="I16" s="3" t="n">
        <v>3600</v>
      </c>
      <c r="J16" t="n">
        <v>2</v>
      </c>
      <c r="K16" s="3" t="n">
        <v>7200</v>
      </c>
      <c r="L16" s="3" t="n">
        <v>7200</v>
      </c>
      <c r="M16" t="inlineStr">
        <is>
          <t>completed</t>
        </is>
      </c>
    </row>
    <row r="17">
      <c r="A17" t="n">
        <v>1034</v>
      </c>
      <c r="B17" s="2" t="inlineStr">
        <is>
          <t>2026-10</t>
        </is>
      </c>
      <c r="C17" t="inlineStr">
        <is>
          <t>Divya</t>
        </is>
      </c>
      <c r="D17" t="inlineStr">
        <is>
          <t>Gupta</t>
        </is>
      </c>
      <c r="E17" t="inlineStr">
        <is>
          <t>West</t>
        </is>
      </c>
      <c r="F17" t="inlineStr">
        <is>
          <t>Neha Kulkarni</t>
        </is>
      </c>
      <c r="G17" t="inlineStr">
        <is>
          <t>Running Shoes</t>
        </is>
      </c>
      <c r="H17" t="inlineStr">
        <is>
          <t>Apparel</t>
        </is>
      </c>
      <c r="I17" s="3" t="n">
        <v>3600</v>
      </c>
      <c r="J17" t="n">
        <v>2</v>
      </c>
      <c r="K17" s="3" t="n">
        <v>7200</v>
      </c>
      <c r="L17" s="3" t="n">
        <v>7200</v>
      </c>
      <c r="M17" t="inlineStr">
        <is>
          <t>completed</t>
        </is>
      </c>
    </row>
    <row r="18">
      <c r="A18" t="n">
        <v>1074</v>
      </c>
      <c r="B18" s="2" t="inlineStr">
        <is>
          <t>2026-11</t>
        </is>
      </c>
      <c r="C18" t="inlineStr">
        <is>
          <t>Nisha</t>
        </is>
      </c>
      <c r="D18" t="inlineStr">
        <is>
          <t>Mishra</t>
        </is>
      </c>
      <c r="E18" t="inlineStr">
        <is>
          <t>West</t>
        </is>
      </c>
      <c r="F18" t="inlineStr">
        <is>
          <t>Neha Kulkarni</t>
        </is>
      </c>
      <c r="G18" t="inlineStr">
        <is>
          <t>Running Shoes</t>
        </is>
      </c>
      <c r="H18" t="inlineStr">
        <is>
          <t>Apparel</t>
        </is>
      </c>
      <c r="I18" s="3" t="n">
        <v>3600</v>
      </c>
      <c r="J18" t="n">
        <v>2</v>
      </c>
      <c r="K18" s="3" t="n">
        <v>7200</v>
      </c>
      <c r="L18" s="3" t="n">
        <v>7200</v>
      </c>
      <c r="M18" t="inlineStr">
        <is>
          <t>completed</t>
        </is>
      </c>
    </row>
    <row r="19">
      <c r="A19" t="n">
        <v>1086</v>
      </c>
      <c r="B19" s="2" t="inlineStr">
        <is>
          <t>2026-11</t>
        </is>
      </c>
      <c r="C19" t="inlineStr">
        <is>
          <t>Manoj</t>
        </is>
      </c>
      <c r="D19" t="inlineStr">
        <is>
          <t>Desai</t>
        </is>
      </c>
      <c r="E19" t="inlineStr">
        <is>
          <t>North</t>
        </is>
      </c>
      <c r="F19" t="inlineStr">
        <is>
          <t>Arjun Mehta</t>
        </is>
      </c>
      <c r="G19" t="inlineStr">
        <is>
          <t>Running Shoes</t>
        </is>
      </c>
      <c r="H19" t="inlineStr">
        <is>
          <t>Apparel</t>
        </is>
      </c>
      <c r="I19" s="3" t="n">
        <v>3600</v>
      </c>
      <c r="J19" t="n">
        <v>2</v>
      </c>
      <c r="K19" s="3" t="n">
        <v>7200</v>
      </c>
      <c r="L19" s="3" t="n">
        <v>7200</v>
      </c>
      <c r="M19" t="inlineStr">
        <is>
          <t>completed</t>
        </is>
      </c>
    </row>
    <row r="20">
      <c r="A20" t="n">
        <v>1008</v>
      </c>
      <c r="B20" s="2" t="inlineStr">
        <is>
          <t>2026-09</t>
        </is>
      </c>
      <c r="C20" t="inlineStr">
        <is>
          <t>Sneha</t>
        </is>
      </c>
      <c r="D20" t="inlineStr">
        <is>
          <t>Das</t>
        </is>
      </c>
      <c r="E20" t="inlineStr">
        <is>
          <t>West</t>
        </is>
      </c>
      <c r="F20" t="inlineStr">
        <is>
          <t>Neha Kulkarni</t>
        </is>
      </c>
      <c r="G20" t="inlineStr">
        <is>
          <t>Wireless Earbuds</t>
        </is>
      </c>
      <c r="H20" t="inlineStr">
        <is>
          <t>Electronics</t>
        </is>
      </c>
      <c r="I20" s="3" t="n">
        <v>3200</v>
      </c>
      <c r="J20" t="n">
        <v>2</v>
      </c>
      <c r="K20" s="3" t="n">
        <v>6400</v>
      </c>
      <c r="L20" s="3" t="n">
        <v>6400</v>
      </c>
      <c r="M20" t="inlineStr">
        <is>
          <t>completed</t>
        </is>
      </c>
    </row>
    <row r="21">
      <c r="A21" t="n">
        <v>1020</v>
      </c>
      <c r="B21" s="2" t="inlineStr">
        <is>
          <t>2026-09</t>
        </is>
      </c>
      <c r="C21" t="inlineStr">
        <is>
          <t>Tanvi</t>
        </is>
      </c>
      <c r="D21" t="inlineStr">
        <is>
          <t>Thakur</t>
        </is>
      </c>
      <c r="E21" t="inlineStr">
        <is>
          <t>South</t>
        </is>
      </c>
      <c r="F21" t="inlineStr">
        <is>
          <t>Kavya Nair</t>
        </is>
      </c>
      <c r="G21" t="inlineStr">
        <is>
          <t>Wireless Earbuds</t>
        </is>
      </c>
      <c r="H21" t="inlineStr">
        <is>
          <t>Electronics</t>
        </is>
      </c>
      <c r="I21" s="3" t="n">
        <v>3200</v>
      </c>
      <c r="J21" t="n">
        <v>2</v>
      </c>
      <c r="K21" s="3" t="n">
        <v>6400</v>
      </c>
      <c r="L21" s="3" t="n">
        <v>6400</v>
      </c>
      <c r="M21" t="inlineStr">
        <is>
          <t>completed</t>
        </is>
      </c>
    </row>
    <row r="22">
      <c r="A22" t="n">
        <v>1062</v>
      </c>
      <c r="B22" s="2" t="inlineStr">
        <is>
          <t>2026-11</t>
        </is>
      </c>
      <c r="C22" t="inlineStr">
        <is>
          <t>Isha</t>
        </is>
      </c>
      <c r="D22" t="inlineStr">
        <is>
          <t>Pillai</t>
        </is>
      </c>
      <c r="E22" t="inlineStr">
        <is>
          <t>West</t>
        </is>
      </c>
      <c r="F22" t="inlineStr">
        <is>
          <t>Neha Kulkarni</t>
        </is>
      </c>
      <c r="G22" t="inlineStr">
        <is>
          <t>Wireless Earbuds</t>
        </is>
      </c>
      <c r="H22" t="inlineStr">
        <is>
          <t>Electronics</t>
        </is>
      </c>
      <c r="I22" s="3" t="n">
        <v>3200</v>
      </c>
      <c r="J22" t="n">
        <v>2</v>
      </c>
      <c r="K22" s="3" t="n">
        <v>6400</v>
      </c>
      <c r="L22" s="3" t="n">
        <v>6400</v>
      </c>
      <c r="M22" t="inlineStr">
        <is>
          <t>completed</t>
        </is>
      </c>
    </row>
    <row r="23">
      <c r="A23" t="n">
        <v>1081</v>
      </c>
      <c r="B23" s="2" t="inlineStr">
        <is>
          <t>2026-11</t>
        </is>
      </c>
      <c r="C23" t="inlineStr">
        <is>
          <t>Vikram</t>
        </is>
      </c>
      <c r="D23" t="inlineStr">
        <is>
          <t>Singh</t>
        </is>
      </c>
      <c r="E23" t="inlineStr">
        <is>
          <t>North</t>
        </is>
      </c>
      <c r="F23" t="inlineStr">
        <is>
          <t>Arjun Mehta</t>
        </is>
      </c>
      <c r="G23" t="inlineStr">
        <is>
          <t>Wireless Earbuds</t>
        </is>
      </c>
      <c r="H23" t="inlineStr">
        <is>
          <t>Electronics</t>
        </is>
      </c>
      <c r="I23" s="3" t="n">
        <v>3200</v>
      </c>
      <c r="J23" t="n">
        <v>2</v>
      </c>
      <c r="K23" s="3" t="n">
        <v>6400</v>
      </c>
      <c r="L23" s="3" t="n">
        <v>6400</v>
      </c>
      <c r="M23" t="inlineStr">
        <is>
          <t>completed</t>
        </is>
      </c>
    </row>
    <row r="24">
      <c r="A24" t="n">
        <v>1059</v>
      </c>
      <c r="B24" s="2" t="inlineStr">
        <is>
          <t>2026-11</t>
        </is>
      </c>
      <c r="C24" t="inlineStr">
        <is>
          <t>Priya</t>
        </is>
      </c>
      <c r="D24" t="inlineStr">
        <is>
          <t>Iyer</t>
        </is>
      </c>
      <c r="E24" t="inlineStr">
        <is>
          <t>South</t>
        </is>
      </c>
      <c r="F24" t="inlineStr">
        <is>
          <t>Kavya Nair</t>
        </is>
      </c>
      <c r="G24" t="inlineStr">
        <is>
          <t>Bluetooth Speaker</t>
        </is>
      </c>
      <c r="H24" t="inlineStr">
        <is>
          <t>Electronics</t>
        </is>
      </c>
      <c r="I24" s="3" t="n">
        <v>2800</v>
      </c>
      <c r="J24" t="n">
        <v>2</v>
      </c>
      <c r="K24" s="3" t="n">
        <v>5600</v>
      </c>
      <c r="L24" s="3" t="n">
        <v>5600</v>
      </c>
      <c r="M24" t="inlineStr">
        <is>
          <t>completed</t>
        </is>
      </c>
    </row>
    <row r="25">
      <c r="A25" t="n">
        <v>1053</v>
      </c>
      <c r="B25" s="2" t="inlineStr">
        <is>
          <t>2026-10</t>
        </is>
      </c>
      <c r="C25" t="inlineStr">
        <is>
          <t>Tanvi</t>
        </is>
      </c>
      <c r="D25" t="inlineStr">
        <is>
          <t>Thakur</t>
        </is>
      </c>
      <c r="E25" t="inlineStr">
        <is>
          <t>South</t>
        </is>
      </c>
      <c r="F25" t="inlineStr">
        <is>
          <t>Kavya Nair</t>
        </is>
      </c>
      <c r="G25" t="inlineStr">
        <is>
          <t>Air Fryer</t>
        </is>
      </c>
      <c r="H25" t="inlineStr">
        <is>
          <t>Home</t>
        </is>
      </c>
      <c r="I25" s="3" t="n">
        <v>5200</v>
      </c>
      <c r="J25" t="n">
        <v>1</v>
      </c>
      <c r="K25" s="3" t="n">
        <v>5200</v>
      </c>
      <c r="L25" s="3" t="n">
        <v>5200</v>
      </c>
      <c r="M25" t="inlineStr">
        <is>
          <t>completed</t>
        </is>
      </c>
    </row>
    <row r="26">
      <c r="A26" t="n">
        <v>1067</v>
      </c>
      <c r="B26" s="2" t="inlineStr">
        <is>
          <t>2026-11</t>
        </is>
      </c>
      <c r="C26" t="inlineStr">
        <is>
          <t>Priya</t>
        </is>
      </c>
      <c r="D26" t="inlineStr">
        <is>
          <t>Iyer</t>
        </is>
      </c>
      <c r="E26" t="inlineStr">
        <is>
          <t>South</t>
        </is>
      </c>
      <c r="F26" t="inlineStr">
        <is>
          <t>Kavya Nair</t>
        </is>
      </c>
      <c r="G26" t="inlineStr">
        <is>
          <t>Air Fryer</t>
        </is>
      </c>
      <c r="H26" t="inlineStr">
        <is>
          <t>Home</t>
        </is>
      </c>
      <c r="I26" s="3" t="n">
        <v>5200</v>
      </c>
      <c r="J26" t="n">
        <v>1</v>
      </c>
      <c r="K26" s="3" t="n">
        <v>5200</v>
      </c>
      <c r="L26" s="3" t="n">
        <v>5200</v>
      </c>
      <c r="M26" t="inlineStr">
        <is>
          <t>completed</t>
        </is>
      </c>
    </row>
    <row r="27">
      <c r="A27" t="n">
        <v>1029</v>
      </c>
      <c r="B27" s="2" t="inlineStr">
        <is>
          <t>2026-10</t>
        </is>
      </c>
      <c r="C27" t="inlineStr">
        <is>
          <t>Aditya</t>
        </is>
      </c>
      <c r="D27" t="inlineStr">
        <is>
          <t>Rao</t>
        </is>
      </c>
      <c r="E27" t="inlineStr">
        <is>
          <t>East</t>
        </is>
      </c>
      <c r="F27" t="inlineStr">
        <is>
          <t>Sanjay Roy</t>
        </is>
      </c>
      <c r="G27" t="inlineStr">
        <is>
          <t>Denim Jacket</t>
        </is>
      </c>
      <c r="H27" t="inlineStr">
        <is>
          <t>Apparel</t>
        </is>
      </c>
      <c r="I27" s="3" t="n">
        <v>2500</v>
      </c>
      <c r="J27" t="n">
        <v>2</v>
      </c>
      <c r="K27" s="3" t="n">
        <v>5000</v>
      </c>
      <c r="L27" s="3" t="n">
        <v>5000</v>
      </c>
      <c r="M27" t="inlineStr">
        <is>
          <t>completed</t>
        </is>
      </c>
    </row>
    <row r="28">
      <c r="A28" t="n">
        <v>1030</v>
      </c>
      <c r="B28" s="2" t="inlineStr">
        <is>
          <t>2026-10</t>
        </is>
      </c>
      <c r="C28" t="inlineStr">
        <is>
          <t>Lakshmi</t>
        </is>
      </c>
      <c r="D28" t="inlineStr">
        <is>
          <t>Kapoor</t>
        </is>
      </c>
      <c r="E28" t="inlineStr">
        <is>
          <t>South</t>
        </is>
      </c>
      <c r="F28" t="inlineStr">
        <is>
          <t>Kavya Nair</t>
        </is>
      </c>
      <c r="G28" t="inlineStr">
        <is>
          <t>Denim Jacket</t>
        </is>
      </c>
      <c r="H28" t="inlineStr">
        <is>
          <t>Apparel</t>
        </is>
      </c>
      <c r="I28" s="3" t="n">
        <v>2500</v>
      </c>
      <c r="J28" t="n">
        <v>2</v>
      </c>
      <c r="K28" s="3" t="n">
        <v>5000</v>
      </c>
      <c r="L28" s="3" t="n">
        <v>5000</v>
      </c>
      <c r="M28" t="inlineStr">
        <is>
          <t>completed</t>
        </is>
      </c>
    </row>
    <row r="29">
      <c r="A29" t="n">
        <v>1014</v>
      </c>
      <c r="B29" s="2" t="inlineStr">
        <is>
          <t>2026-09</t>
        </is>
      </c>
      <c r="C29" t="inlineStr">
        <is>
          <t>Aditya</t>
        </is>
      </c>
      <c r="D29" t="inlineStr">
        <is>
          <t>Rao</t>
        </is>
      </c>
      <c r="E29" t="inlineStr">
        <is>
          <t>East</t>
        </is>
      </c>
      <c r="F29" t="inlineStr">
        <is>
          <t>Sanjay Roy</t>
        </is>
      </c>
      <c r="G29" t="inlineStr">
        <is>
          <t>Smart Watch</t>
        </is>
      </c>
      <c r="H29" t="inlineStr">
        <is>
          <t>Electronics</t>
        </is>
      </c>
      <c r="I29" s="3" t="n">
        <v>4500</v>
      </c>
      <c r="J29" t="n">
        <v>1</v>
      </c>
      <c r="K29" s="3" t="n">
        <v>4500</v>
      </c>
      <c r="L29" s="3" t="n">
        <v>4500</v>
      </c>
      <c r="M29" t="inlineStr">
        <is>
          <t>completed</t>
        </is>
      </c>
    </row>
    <row r="30">
      <c r="A30" t="n">
        <v>1027</v>
      </c>
      <c r="B30" s="2" t="inlineStr">
        <is>
          <t>2026-10</t>
        </is>
      </c>
      <c r="C30" t="inlineStr">
        <is>
          <t>Aarav</t>
        </is>
      </c>
      <c r="D30" t="inlineStr">
        <is>
          <t>Sharma</t>
        </is>
      </c>
      <c r="E30" t="inlineStr">
        <is>
          <t>North</t>
        </is>
      </c>
      <c r="F30" t="inlineStr">
        <is>
          <t>Arjun Mehta</t>
        </is>
      </c>
      <c r="G30" t="inlineStr">
        <is>
          <t>Smart Watch</t>
        </is>
      </c>
      <c r="H30" t="inlineStr">
        <is>
          <t>Electronics</t>
        </is>
      </c>
      <c r="I30" s="3" t="n">
        <v>4500</v>
      </c>
      <c r="J30" t="n">
        <v>1</v>
      </c>
      <c r="K30" s="3" t="n">
        <v>4500</v>
      </c>
      <c r="L30" s="3" t="n">
        <v>4500</v>
      </c>
      <c r="M30" t="inlineStr">
        <is>
          <t>completed</t>
        </is>
      </c>
    </row>
    <row r="31">
      <c r="A31" t="n">
        <v>1055</v>
      </c>
      <c r="B31" s="2" t="inlineStr">
        <is>
          <t>2026-10</t>
        </is>
      </c>
      <c r="C31" t="inlineStr">
        <is>
          <t>Swati</t>
        </is>
      </c>
      <c r="D31" t="inlineStr">
        <is>
          <t>Banerjee</t>
        </is>
      </c>
      <c r="E31" t="inlineStr">
        <is>
          <t>South</t>
        </is>
      </c>
      <c r="F31" t="inlineStr">
        <is>
          <t>Kavya Nair</t>
        </is>
      </c>
      <c r="G31" t="inlineStr">
        <is>
          <t>Smart Watch</t>
        </is>
      </c>
      <c r="H31" t="inlineStr">
        <is>
          <t>Electronics</t>
        </is>
      </c>
      <c r="I31" s="3" t="n">
        <v>4500</v>
      </c>
      <c r="J31" t="n">
        <v>1</v>
      </c>
      <c r="K31" s="3" t="n">
        <v>4500</v>
      </c>
      <c r="L31" s="3" t="n">
        <v>4500</v>
      </c>
      <c r="M31" t="inlineStr">
        <is>
          <t>completed</t>
        </is>
      </c>
    </row>
    <row r="32">
      <c r="A32" t="n">
        <v>1073</v>
      </c>
      <c r="B32" s="2" t="inlineStr">
        <is>
          <t>2026-11</t>
        </is>
      </c>
      <c r="C32" t="inlineStr">
        <is>
          <t>Harsh</t>
        </is>
      </c>
      <c r="D32" t="inlineStr">
        <is>
          <t>Chopra</t>
        </is>
      </c>
      <c r="E32" t="inlineStr">
        <is>
          <t>East</t>
        </is>
      </c>
      <c r="F32" t="inlineStr">
        <is>
          <t>Sanjay Roy</t>
        </is>
      </c>
      <c r="G32" t="inlineStr">
        <is>
          <t>Smart Watch</t>
        </is>
      </c>
      <c r="H32" t="inlineStr">
        <is>
          <t>Electronics</t>
        </is>
      </c>
      <c r="I32" s="3" t="n">
        <v>4500</v>
      </c>
      <c r="J32" t="n">
        <v>1</v>
      </c>
      <c r="K32" s="3" t="n">
        <v>4500</v>
      </c>
      <c r="L32" s="3" t="n">
        <v>4500</v>
      </c>
      <c r="M32" t="inlineStr">
        <is>
          <t>completed</t>
        </is>
      </c>
    </row>
    <row r="33">
      <c r="A33" t="n">
        <v>1087</v>
      </c>
      <c r="B33" s="2" t="inlineStr">
        <is>
          <t>2026-11</t>
        </is>
      </c>
      <c r="C33" t="inlineStr">
        <is>
          <t>Manoj</t>
        </is>
      </c>
      <c r="D33" t="inlineStr">
        <is>
          <t>Desai</t>
        </is>
      </c>
      <c r="E33" t="inlineStr">
        <is>
          <t>North</t>
        </is>
      </c>
      <c r="F33" t="inlineStr">
        <is>
          <t>Arjun Mehta</t>
        </is>
      </c>
      <c r="G33" t="inlineStr">
        <is>
          <t>Smart Watch</t>
        </is>
      </c>
      <c r="H33" t="inlineStr">
        <is>
          <t>Electronics</t>
        </is>
      </c>
      <c r="I33" s="3" t="n">
        <v>4500</v>
      </c>
      <c r="J33" t="n">
        <v>1</v>
      </c>
      <c r="K33" s="3" t="n">
        <v>4500</v>
      </c>
      <c r="L33" s="3" t="n">
        <v>4500</v>
      </c>
      <c r="M33" t="inlineStr">
        <is>
          <t>completed</t>
        </is>
      </c>
    </row>
    <row r="34">
      <c r="A34" t="n">
        <v>1045</v>
      </c>
      <c r="B34" s="2" t="inlineStr">
        <is>
          <t>2026-10</t>
        </is>
      </c>
      <c r="C34" t="inlineStr">
        <is>
          <t>Nisha</t>
        </is>
      </c>
      <c r="D34" t="inlineStr">
        <is>
          <t>Mishra</t>
        </is>
      </c>
      <c r="E34" t="inlineStr">
        <is>
          <t>West</t>
        </is>
      </c>
      <c r="F34" t="inlineStr">
        <is>
          <t>Neha Kulkarni</t>
        </is>
      </c>
      <c r="G34" t="inlineStr">
        <is>
          <t>Cotton Kurta</t>
        </is>
      </c>
      <c r="H34" t="inlineStr">
        <is>
          <t>Apparel</t>
        </is>
      </c>
      <c r="I34" s="3" t="n">
        <v>1400</v>
      </c>
      <c r="J34" t="n">
        <v>3</v>
      </c>
      <c r="K34" s="3" t="n">
        <v>4200</v>
      </c>
      <c r="L34" s="3" t="n">
        <v>4200</v>
      </c>
      <c r="M34" t="inlineStr">
        <is>
          <t>completed</t>
        </is>
      </c>
    </row>
    <row r="35">
      <c r="A35" t="n">
        <v>1018</v>
      </c>
      <c r="B35" s="2" t="inlineStr">
        <is>
          <t>2026-09</t>
        </is>
      </c>
      <c r="C35" t="inlineStr">
        <is>
          <t>Manoj</t>
        </is>
      </c>
      <c r="D35" t="inlineStr">
        <is>
          <t>Desai</t>
        </is>
      </c>
      <c r="E35" t="inlineStr">
        <is>
          <t>North</t>
        </is>
      </c>
      <c r="F35" t="inlineStr">
        <is>
          <t>Arjun Mehta</t>
        </is>
      </c>
      <c r="G35" t="inlineStr">
        <is>
          <t>Bedsheet Set</t>
        </is>
      </c>
      <c r="H35" t="inlineStr">
        <is>
          <t>Home</t>
        </is>
      </c>
      <c r="I35" s="3" t="n">
        <v>1900</v>
      </c>
      <c r="J35" t="n">
        <v>2</v>
      </c>
      <c r="K35" s="3" t="n">
        <v>3800</v>
      </c>
      <c r="L35" s="3" t="n">
        <v>3800</v>
      </c>
      <c r="M35" t="inlineStr">
        <is>
          <t>completed</t>
        </is>
      </c>
    </row>
    <row r="36">
      <c r="A36" t="n">
        <v>1012</v>
      </c>
      <c r="B36" s="2" t="inlineStr">
        <is>
          <t>2026-09</t>
        </is>
      </c>
      <c r="C36" t="inlineStr">
        <is>
          <t>Sneha</t>
        </is>
      </c>
      <c r="D36" t="inlineStr">
        <is>
          <t>Das</t>
        </is>
      </c>
      <c r="E36" t="inlineStr">
        <is>
          <t>West</t>
        </is>
      </c>
      <c r="F36" t="inlineStr">
        <is>
          <t>Neha Kulkarni</t>
        </is>
      </c>
      <c r="G36" t="inlineStr">
        <is>
          <t>Running Shoes</t>
        </is>
      </c>
      <c r="H36" t="inlineStr">
        <is>
          <t>Apparel</t>
        </is>
      </c>
      <c r="I36" s="3" t="n">
        <v>3600</v>
      </c>
      <c r="J36" t="n">
        <v>1</v>
      </c>
      <c r="K36" s="3" t="n">
        <v>3600</v>
      </c>
      <c r="L36" s="3" t="n">
        <v>3600</v>
      </c>
      <c r="M36" t="inlineStr">
        <is>
          <t>completed</t>
        </is>
      </c>
    </row>
    <row r="37">
      <c r="A37" t="n">
        <v>1023</v>
      </c>
      <c r="B37" s="2" t="inlineStr">
        <is>
          <t>2026-09</t>
        </is>
      </c>
      <c r="C37" t="inlineStr">
        <is>
          <t>Manoj</t>
        </is>
      </c>
      <c r="D37" t="inlineStr">
        <is>
          <t>Desai</t>
        </is>
      </c>
      <c r="E37" t="inlineStr">
        <is>
          <t>North</t>
        </is>
      </c>
      <c r="F37" t="inlineStr">
        <is>
          <t>Arjun Mehta</t>
        </is>
      </c>
      <c r="G37" t="inlineStr">
        <is>
          <t>Running Shoes</t>
        </is>
      </c>
      <c r="H37" t="inlineStr">
        <is>
          <t>Apparel</t>
        </is>
      </c>
      <c r="I37" s="3" t="n">
        <v>3600</v>
      </c>
      <c r="J37" t="n">
        <v>1</v>
      </c>
      <c r="K37" s="3" t="n">
        <v>3600</v>
      </c>
      <c r="L37" s="3" t="n">
        <v>3600</v>
      </c>
      <c r="M37" t="inlineStr">
        <is>
          <t>completed</t>
        </is>
      </c>
    </row>
    <row r="38">
      <c r="A38" t="n">
        <v>1050</v>
      </c>
      <c r="B38" s="2" t="inlineStr">
        <is>
          <t>2026-10</t>
        </is>
      </c>
      <c r="C38" t="inlineStr">
        <is>
          <t>Pooja</t>
        </is>
      </c>
      <c r="D38" t="inlineStr">
        <is>
          <t>Menon</t>
        </is>
      </c>
      <c r="E38" t="inlineStr">
        <is>
          <t>West</t>
        </is>
      </c>
      <c r="F38" t="inlineStr">
        <is>
          <t>Neha Kulkarni</t>
        </is>
      </c>
      <c r="G38" t="inlineStr">
        <is>
          <t>Running Shoes</t>
        </is>
      </c>
      <c r="H38" t="inlineStr">
        <is>
          <t>Apparel</t>
        </is>
      </c>
      <c r="I38" s="3" t="n">
        <v>3600</v>
      </c>
      <c r="J38" t="n">
        <v>1</v>
      </c>
      <c r="K38" s="3" t="n">
        <v>3600</v>
      </c>
      <c r="L38" s="3" t="n">
        <v>3600</v>
      </c>
      <c r="M38" t="inlineStr">
        <is>
          <t>completed</t>
        </is>
      </c>
    </row>
    <row r="39">
      <c r="A39" t="n">
        <v>1084</v>
      </c>
      <c r="B39" s="2" t="inlineStr">
        <is>
          <t>2026-11</t>
        </is>
      </c>
      <c r="C39" t="inlineStr">
        <is>
          <t>Lakshmi</t>
        </is>
      </c>
      <c r="D39" t="inlineStr">
        <is>
          <t>Kapoor</t>
        </is>
      </c>
      <c r="E39" t="inlineStr">
        <is>
          <t>South</t>
        </is>
      </c>
      <c r="F39" t="inlineStr">
        <is>
          <t>Kavya Nair</t>
        </is>
      </c>
      <c r="G39" t="inlineStr">
        <is>
          <t>Running Shoes</t>
        </is>
      </c>
      <c r="H39" t="inlineStr">
        <is>
          <t>Apparel</t>
        </is>
      </c>
      <c r="I39" s="3" t="n">
        <v>3600</v>
      </c>
      <c r="J39" t="n">
        <v>1</v>
      </c>
      <c r="K39" s="3" t="n">
        <v>3600</v>
      </c>
      <c r="L39" s="3" t="n">
        <v>3600</v>
      </c>
      <c r="M39" t="inlineStr">
        <is>
          <t>completed</t>
        </is>
      </c>
    </row>
    <row r="40">
      <c r="A40" t="n">
        <v>1017</v>
      </c>
      <c r="B40" s="2" t="inlineStr">
        <is>
          <t>2026-09</t>
        </is>
      </c>
      <c r="C40" t="inlineStr">
        <is>
          <t>Vikram</t>
        </is>
      </c>
      <c r="D40" t="inlineStr">
        <is>
          <t>Singh</t>
        </is>
      </c>
      <c r="E40" t="inlineStr">
        <is>
          <t>North</t>
        </is>
      </c>
      <c r="F40" t="inlineStr">
        <is>
          <t>Arjun Mehta</t>
        </is>
      </c>
      <c r="G40" t="inlineStr">
        <is>
          <t>Wireless Earbuds</t>
        </is>
      </c>
      <c r="H40" t="inlineStr">
        <is>
          <t>Electronics</t>
        </is>
      </c>
      <c r="I40" s="3" t="n">
        <v>3200</v>
      </c>
      <c r="J40" t="n">
        <v>1</v>
      </c>
      <c r="K40" s="3" t="n">
        <v>3200</v>
      </c>
      <c r="L40" s="3" t="n">
        <v>3200</v>
      </c>
      <c r="M40" t="inlineStr">
        <is>
          <t>completed</t>
        </is>
      </c>
    </row>
    <row r="41">
      <c r="A41" t="n">
        <v>1028</v>
      </c>
      <c r="B41" s="2" t="inlineStr">
        <is>
          <t>2026-10</t>
        </is>
      </c>
      <c r="C41" t="inlineStr">
        <is>
          <t>Swati</t>
        </is>
      </c>
      <c r="D41" t="inlineStr">
        <is>
          <t>Banerjee</t>
        </is>
      </c>
      <c r="E41" t="inlineStr">
        <is>
          <t>South</t>
        </is>
      </c>
      <c r="F41" t="inlineStr">
        <is>
          <t>Kavya Nair</t>
        </is>
      </c>
      <c r="G41" t="inlineStr">
        <is>
          <t>Wireless Earbuds</t>
        </is>
      </c>
      <c r="H41" t="inlineStr">
        <is>
          <t>Electronics</t>
        </is>
      </c>
      <c r="I41" s="3" t="n">
        <v>3200</v>
      </c>
      <c r="J41" t="n">
        <v>1</v>
      </c>
      <c r="K41" s="3" t="n">
        <v>3200</v>
      </c>
      <c r="L41" s="3" t="n">
        <v>3200</v>
      </c>
      <c r="M41" t="inlineStr">
        <is>
          <t>completed</t>
        </is>
      </c>
    </row>
    <row r="42">
      <c r="A42" t="n">
        <v>1066</v>
      </c>
      <c r="B42" s="2" t="inlineStr">
        <is>
          <t>2026-11</t>
        </is>
      </c>
      <c r="C42" t="inlineStr">
        <is>
          <t>Suresh</t>
        </is>
      </c>
      <c r="D42" t="inlineStr">
        <is>
          <t>Bose</t>
        </is>
      </c>
      <c r="E42" t="inlineStr">
        <is>
          <t>North</t>
        </is>
      </c>
      <c r="F42" t="inlineStr">
        <is>
          <t>Arjun Mehta</t>
        </is>
      </c>
      <c r="G42" t="inlineStr">
        <is>
          <t>Wireless Earbuds</t>
        </is>
      </c>
      <c r="H42" t="inlineStr">
        <is>
          <t>Electronics</t>
        </is>
      </c>
      <c r="I42" s="3" t="n">
        <v>3200</v>
      </c>
      <c r="J42" t="n">
        <v>1</v>
      </c>
      <c r="K42" s="3" t="n">
        <v>3200</v>
      </c>
      <c r="L42" s="3" t="n">
        <v>3200</v>
      </c>
      <c r="M42" t="inlineStr">
        <is>
          <t>completed</t>
        </is>
      </c>
    </row>
    <row r="43">
      <c r="A43" t="n">
        <v>1085</v>
      </c>
      <c r="B43" s="2" t="inlineStr">
        <is>
          <t>2026-11</t>
        </is>
      </c>
      <c r="C43" t="inlineStr">
        <is>
          <t>Aarav</t>
        </is>
      </c>
      <c r="D43" t="inlineStr">
        <is>
          <t>Sharma</t>
        </is>
      </c>
      <c r="E43" t="inlineStr">
        <is>
          <t>North</t>
        </is>
      </c>
      <c r="F43" t="inlineStr">
        <is>
          <t>Arjun Mehta</t>
        </is>
      </c>
      <c r="G43" t="inlineStr">
        <is>
          <t>Wireless Earbuds</t>
        </is>
      </c>
      <c r="H43" t="inlineStr">
        <is>
          <t>Electronics</t>
        </is>
      </c>
      <c r="I43" s="3" t="n">
        <v>3200</v>
      </c>
      <c r="J43" t="n">
        <v>1</v>
      </c>
      <c r="K43" s="3" t="n">
        <v>3200</v>
      </c>
      <c r="L43" s="3" t="n">
        <v>3200</v>
      </c>
      <c r="M43" t="inlineStr">
        <is>
          <t>completed</t>
        </is>
      </c>
    </row>
    <row r="44">
      <c r="A44" t="n">
        <v>1088</v>
      </c>
      <c r="B44" s="2" t="inlineStr">
        <is>
          <t>2026-11</t>
        </is>
      </c>
      <c r="C44" t="inlineStr">
        <is>
          <t>Sneha</t>
        </is>
      </c>
      <c r="D44" t="inlineStr">
        <is>
          <t>Das</t>
        </is>
      </c>
      <c r="E44" t="inlineStr">
        <is>
          <t>West</t>
        </is>
      </c>
      <c r="F44" t="inlineStr">
        <is>
          <t>Neha Kulkarni</t>
        </is>
      </c>
      <c r="G44" t="inlineStr">
        <is>
          <t>Wireless Earbuds</t>
        </is>
      </c>
      <c r="H44" t="inlineStr">
        <is>
          <t>Electronics</t>
        </is>
      </c>
      <c r="I44" s="3" t="n">
        <v>3200</v>
      </c>
      <c r="J44" t="n">
        <v>1</v>
      </c>
      <c r="K44" s="3" t="n">
        <v>3200</v>
      </c>
      <c r="L44" s="3" t="n">
        <v>3200</v>
      </c>
      <c r="M44" t="inlineStr">
        <is>
          <t>completed</t>
        </is>
      </c>
    </row>
    <row r="45">
      <c r="A45" t="n">
        <v>1038</v>
      </c>
      <c r="B45" s="2" t="inlineStr">
        <is>
          <t>2026-10</t>
        </is>
      </c>
      <c r="C45" t="inlineStr">
        <is>
          <t>Rahul</t>
        </is>
      </c>
      <c r="D45" t="inlineStr">
        <is>
          <t>Verma</t>
        </is>
      </c>
      <c r="E45" t="inlineStr">
        <is>
          <t>East</t>
        </is>
      </c>
      <c r="F45" t="inlineStr">
        <is>
          <t>Sanjay Roy</t>
        </is>
      </c>
      <c r="G45" t="inlineStr">
        <is>
          <t>Cotton Kurta</t>
        </is>
      </c>
      <c r="H45" t="inlineStr">
        <is>
          <t>Apparel</t>
        </is>
      </c>
      <c r="I45" s="3" t="n">
        <v>1400</v>
      </c>
      <c r="J45" t="n">
        <v>2</v>
      </c>
      <c r="K45" s="3" t="n">
        <v>2800</v>
      </c>
      <c r="L45" s="3" t="n">
        <v>2800</v>
      </c>
      <c r="M45" t="inlineStr">
        <is>
          <t>completed</t>
        </is>
      </c>
    </row>
    <row r="46">
      <c r="A46" t="n">
        <v>1041</v>
      </c>
      <c r="B46" s="2" t="inlineStr">
        <is>
          <t>2026-10</t>
        </is>
      </c>
      <c r="C46" t="inlineStr">
        <is>
          <t>Divya</t>
        </is>
      </c>
      <c r="D46" t="inlineStr">
        <is>
          <t>Gupta</t>
        </is>
      </c>
      <c r="E46" t="inlineStr">
        <is>
          <t>West</t>
        </is>
      </c>
      <c r="F46" t="inlineStr">
        <is>
          <t>Neha Kulkarni</t>
        </is>
      </c>
      <c r="G46" t="inlineStr">
        <is>
          <t>Bluetooth Speaker</t>
        </is>
      </c>
      <c r="H46" t="inlineStr">
        <is>
          <t>Electronics</t>
        </is>
      </c>
      <c r="I46" s="3" t="n">
        <v>2800</v>
      </c>
      <c r="J46" t="n">
        <v>1</v>
      </c>
      <c r="K46" s="3" t="n">
        <v>2800</v>
      </c>
      <c r="L46" s="3" t="n">
        <v>2800</v>
      </c>
      <c r="M46" t="inlineStr">
        <is>
          <t>completed</t>
        </is>
      </c>
    </row>
    <row r="47">
      <c r="A47" t="n">
        <v>1043</v>
      </c>
      <c r="B47" s="2" t="inlineStr">
        <is>
          <t>2026-10</t>
        </is>
      </c>
      <c r="C47" t="inlineStr">
        <is>
          <t>Rohit</t>
        </is>
      </c>
      <c r="D47" t="inlineStr">
        <is>
          <t>Khan</t>
        </is>
      </c>
      <c r="E47" t="inlineStr">
        <is>
          <t>North</t>
        </is>
      </c>
      <c r="F47" t="inlineStr">
        <is>
          <t>Arjun Mehta</t>
        </is>
      </c>
      <c r="G47" t="inlineStr">
        <is>
          <t>Bluetooth Speaker</t>
        </is>
      </c>
      <c r="H47" t="inlineStr">
        <is>
          <t>Electronics</t>
        </is>
      </c>
      <c r="I47" s="3" t="n">
        <v>2800</v>
      </c>
      <c r="J47" t="n">
        <v>1</v>
      </c>
      <c r="K47" s="3" t="n">
        <v>2800</v>
      </c>
      <c r="L47" s="3" t="n">
        <v>2800</v>
      </c>
      <c r="M47" t="inlineStr">
        <is>
          <t>completed</t>
        </is>
      </c>
    </row>
    <row r="48">
      <c r="A48" t="n">
        <v>1051</v>
      </c>
      <c r="B48" s="2" t="inlineStr">
        <is>
          <t>2026-10</t>
        </is>
      </c>
      <c r="C48" t="inlineStr">
        <is>
          <t>Sneha</t>
        </is>
      </c>
      <c r="D48" t="inlineStr">
        <is>
          <t>Das</t>
        </is>
      </c>
      <c r="E48" t="inlineStr">
        <is>
          <t>West</t>
        </is>
      </c>
      <c r="F48" t="inlineStr">
        <is>
          <t>Neha Kulkarni</t>
        </is>
      </c>
      <c r="G48" t="inlineStr">
        <is>
          <t>Cotton Kurta</t>
        </is>
      </c>
      <c r="H48" t="inlineStr">
        <is>
          <t>Apparel</t>
        </is>
      </c>
      <c r="I48" s="3" t="n">
        <v>1400</v>
      </c>
      <c r="J48" t="n">
        <v>2</v>
      </c>
      <c r="K48" s="3" t="n">
        <v>2800</v>
      </c>
      <c r="L48" s="3" t="n">
        <v>2800</v>
      </c>
      <c r="M48" t="inlineStr">
        <is>
          <t>completed</t>
        </is>
      </c>
    </row>
    <row r="49">
      <c r="A49" t="n">
        <v>1076</v>
      </c>
      <c r="B49" s="2" t="inlineStr">
        <is>
          <t>2026-11</t>
        </is>
      </c>
      <c r="C49" t="inlineStr">
        <is>
          <t>Gaurav</t>
        </is>
      </c>
      <c r="D49" t="inlineStr">
        <is>
          <t>Yadav</t>
        </is>
      </c>
      <c r="E49" t="inlineStr">
        <is>
          <t>East</t>
        </is>
      </c>
      <c r="F49" t="inlineStr">
        <is>
          <t>Sanjay Roy</t>
        </is>
      </c>
      <c r="G49" t="inlineStr">
        <is>
          <t>Cotton Kurta</t>
        </is>
      </c>
      <c r="H49" t="inlineStr">
        <is>
          <t>Apparel</t>
        </is>
      </c>
      <c r="I49" s="3" t="n">
        <v>1400</v>
      </c>
      <c r="J49" t="n">
        <v>2</v>
      </c>
      <c r="K49" s="3" t="n">
        <v>2800</v>
      </c>
      <c r="L49" s="3" t="n">
        <v>2800</v>
      </c>
      <c r="M49" t="inlineStr">
        <is>
          <t>completed</t>
        </is>
      </c>
    </row>
    <row r="50">
      <c r="A50" t="n">
        <v>1080</v>
      </c>
      <c r="B50" s="2" t="inlineStr">
        <is>
          <t>2026-11</t>
        </is>
      </c>
      <c r="C50" t="inlineStr">
        <is>
          <t>Harsh</t>
        </is>
      </c>
      <c r="D50" t="inlineStr">
        <is>
          <t>Chopra</t>
        </is>
      </c>
      <c r="E50" t="inlineStr">
        <is>
          <t>East</t>
        </is>
      </c>
      <c r="F50" t="inlineStr">
        <is>
          <t>Sanjay Roy</t>
        </is>
      </c>
      <c r="G50" t="inlineStr">
        <is>
          <t>Bluetooth Speaker</t>
        </is>
      </c>
      <c r="H50" t="inlineStr">
        <is>
          <t>Electronics</t>
        </is>
      </c>
      <c r="I50" s="3" t="n">
        <v>2800</v>
      </c>
      <c r="J50" t="n">
        <v>1</v>
      </c>
      <c r="K50" s="3" t="n">
        <v>2800</v>
      </c>
      <c r="L50" s="3" t="n">
        <v>2800</v>
      </c>
      <c r="M50" t="inlineStr">
        <is>
          <t>completed</t>
        </is>
      </c>
    </row>
    <row r="51">
      <c r="A51" t="n">
        <v>1032</v>
      </c>
      <c r="B51" s="2" t="inlineStr">
        <is>
          <t>2026-10</t>
        </is>
      </c>
      <c r="C51" t="inlineStr">
        <is>
          <t>Karthik</t>
        </is>
      </c>
      <c r="D51" t="inlineStr">
        <is>
          <t>Nair</t>
        </is>
      </c>
      <c r="E51" t="inlineStr">
        <is>
          <t>East</t>
        </is>
      </c>
      <c r="F51" t="inlineStr">
        <is>
          <t>Sanjay Roy</t>
        </is>
      </c>
      <c r="G51" t="inlineStr">
        <is>
          <t>Table Lamp</t>
        </is>
      </c>
      <c r="H51" t="inlineStr">
        <is>
          <t>Home</t>
        </is>
      </c>
      <c r="I51" s="3" t="n">
        <v>1100</v>
      </c>
      <c r="J51" t="n">
        <v>2</v>
      </c>
      <c r="K51" s="3" t="n">
        <v>2200</v>
      </c>
      <c r="L51" s="3" t="n">
        <v>2200</v>
      </c>
      <c r="M51" t="inlineStr">
        <is>
          <t>completed</t>
        </is>
      </c>
    </row>
    <row r="52">
      <c r="A52" t="n">
        <v>1039</v>
      </c>
      <c r="B52" s="2" t="inlineStr">
        <is>
          <t>2026-10</t>
        </is>
      </c>
      <c r="C52" t="inlineStr">
        <is>
          <t>Rahul</t>
        </is>
      </c>
      <c r="D52" t="inlineStr">
        <is>
          <t>Verma</t>
        </is>
      </c>
      <c r="E52" t="inlineStr">
        <is>
          <t>East</t>
        </is>
      </c>
      <c r="F52" t="inlineStr">
        <is>
          <t>Sanjay Roy</t>
        </is>
      </c>
      <c r="G52" t="inlineStr">
        <is>
          <t>Table Lamp</t>
        </is>
      </c>
      <c r="H52" t="inlineStr">
        <is>
          <t>Home</t>
        </is>
      </c>
      <c r="I52" s="3" t="n">
        <v>1100</v>
      </c>
      <c r="J52" t="n">
        <v>2</v>
      </c>
      <c r="K52" s="3" t="n">
        <v>2200</v>
      </c>
      <c r="L52" s="3" t="n">
        <v>2200</v>
      </c>
      <c r="M52" t="inlineStr">
        <is>
          <t>completed</t>
        </is>
      </c>
    </row>
    <row r="53">
      <c r="A53" t="n">
        <v>1070</v>
      </c>
      <c r="B53" s="2" t="inlineStr">
        <is>
          <t>2026-11</t>
        </is>
      </c>
      <c r="C53" t="inlineStr">
        <is>
          <t>Meera</t>
        </is>
      </c>
      <c r="D53" t="inlineStr">
        <is>
          <t>Patil</t>
        </is>
      </c>
      <c r="E53" t="inlineStr">
        <is>
          <t>South</t>
        </is>
      </c>
      <c r="F53" t="inlineStr">
        <is>
          <t>Kavya Nair</t>
        </is>
      </c>
      <c r="G53" t="inlineStr">
        <is>
          <t>Table Lamp</t>
        </is>
      </c>
      <c r="H53" t="inlineStr">
        <is>
          <t>Home</t>
        </is>
      </c>
      <c r="I53" s="3" t="n">
        <v>1100</v>
      </c>
      <c r="J53" t="n">
        <v>2</v>
      </c>
      <c r="K53" s="3" t="n">
        <v>2200</v>
      </c>
      <c r="L53" s="3" t="n">
        <v>2200</v>
      </c>
      <c r="M53" t="inlineStr">
        <is>
          <t>completed</t>
        </is>
      </c>
    </row>
    <row r="54">
      <c r="A54" t="n">
        <v>1007</v>
      </c>
      <c r="B54" s="2" t="inlineStr">
        <is>
          <t>2026-09</t>
        </is>
      </c>
      <c r="C54" t="inlineStr">
        <is>
          <t>Tanvi</t>
        </is>
      </c>
      <c r="D54" t="inlineStr">
        <is>
          <t>Thakur</t>
        </is>
      </c>
      <c r="E54" t="inlineStr">
        <is>
          <t>South</t>
        </is>
      </c>
      <c r="F54" t="inlineStr">
        <is>
          <t>Kavya Nair</t>
        </is>
      </c>
      <c r="G54" t="inlineStr">
        <is>
          <t>Bedsheet Set</t>
        </is>
      </c>
      <c r="H54" t="inlineStr">
        <is>
          <t>Home</t>
        </is>
      </c>
      <c r="I54" s="3" t="n">
        <v>1900</v>
      </c>
      <c r="J54" t="n">
        <v>1</v>
      </c>
      <c r="K54" s="3" t="n">
        <v>1900</v>
      </c>
      <c r="L54" s="3" t="n">
        <v>1900</v>
      </c>
      <c r="M54" t="inlineStr">
        <is>
          <t>completed</t>
        </is>
      </c>
    </row>
    <row r="55">
      <c r="A55" t="n">
        <v>1009</v>
      </c>
      <c r="B55" s="2" t="inlineStr">
        <is>
          <t>2026-09</t>
        </is>
      </c>
      <c r="C55" t="inlineStr">
        <is>
          <t>Rahul</t>
        </is>
      </c>
      <c r="D55" t="inlineStr">
        <is>
          <t>Verma</t>
        </is>
      </c>
      <c r="E55" t="inlineStr">
        <is>
          <t>East</t>
        </is>
      </c>
      <c r="F55" t="inlineStr">
        <is>
          <t>Sanjay Roy</t>
        </is>
      </c>
      <c r="G55" t="inlineStr">
        <is>
          <t>Bedsheet Set</t>
        </is>
      </c>
      <c r="H55" t="inlineStr">
        <is>
          <t>Home</t>
        </is>
      </c>
      <c r="I55" s="3" t="n">
        <v>1900</v>
      </c>
      <c r="J55" t="n">
        <v>1</v>
      </c>
      <c r="K55" s="3" t="n">
        <v>1900</v>
      </c>
      <c r="L55" s="3" t="n">
        <v>1900</v>
      </c>
      <c r="M55" t="inlineStr">
        <is>
          <t>completed</t>
        </is>
      </c>
    </row>
    <row r="56">
      <c r="A56" t="n">
        <v>1046</v>
      </c>
      <c r="B56" s="2" t="inlineStr">
        <is>
          <t>2026-10</t>
        </is>
      </c>
      <c r="C56" t="inlineStr">
        <is>
          <t>Vikram</t>
        </is>
      </c>
      <c r="D56" t="inlineStr">
        <is>
          <t>Singh</t>
        </is>
      </c>
      <c r="E56" t="inlineStr">
        <is>
          <t>North</t>
        </is>
      </c>
      <c r="F56" t="inlineStr">
        <is>
          <t>Arjun Mehta</t>
        </is>
      </c>
      <c r="G56" t="inlineStr">
        <is>
          <t>Bedsheet Set</t>
        </is>
      </c>
      <c r="H56" t="inlineStr">
        <is>
          <t>Home</t>
        </is>
      </c>
      <c r="I56" s="3" t="n">
        <v>1900</v>
      </c>
      <c r="J56" t="n">
        <v>1</v>
      </c>
      <c r="K56" s="3" t="n">
        <v>1900</v>
      </c>
      <c r="L56" s="3" t="n">
        <v>1900</v>
      </c>
      <c r="M56" t="inlineStr">
        <is>
          <t>completed</t>
        </is>
      </c>
    </row>
    <row r="57">
      <c r="A57" t="n">
        <v>1072</v>
      </c>
      <c r="B57" s="2" t="inlineStr">
        <is>
          <t>2026-11</t>
        </is>
      </c>
      <c r="C57" t="inlineStr">
        <is>
          <t>Isha</t>
        </is>
      </c>
      <c r="D57" t="inlineStr">
        <is>
          <t>Pillai</t>
        </is>
      </c>
      <c r="E57" t="inlineStr">
        <is>
          <t>West</t>
        </is>
      </c>
      <c r="F57" t="inlineStr">
        <is>
          <t>Neha Kulkarni</t>
        </is>
      </c>
      <c r="G57" t="inlineStr">
        <is>
          <t>Bedsheet Set</t>
        </is>
      </c>
      <c r="H57" t="inlineStr">
        <is>
          <t>Home</t>
        </is>
      </c>
      <c r="I57" s="3" t="n">
        <v>1900</v>
      </c>
      <c r="J57" t="n">
        <v>1</v>
      </c>
      <c r="K57" s="3" t="n">
        <v>1900</v>
      </c>
      <c r="L57" s="3" t="n">
        <v>1900</v>
      </c>
      <c r="M57" t="inlineStr">
        <is>
          <t>completed</t>
        </is>
      </c>
    </row>
    <row r="58">
      <c r="A58" t="n">
        <v>1024</v>
      </c>
      <c r="B58" s="2" t="inlineStr">
        <is>
          <t>2026-09</t>
        </is>
      </c>
      <c r="C58" t="inlineStr">
        <is>
          <t>Priya</t>
        </is>
      </c>
      <c r="D58" t="inlineStr">
        <is>
          <t>Iyer</t>
        </is>
      </c>
      <c r="E58" t="inlineStr">
        <is>
          <t>South</t>
        </is>
      </c>
      <c r="F58" t="inlineStr">
        <is>
          <t>Kavya Nair</t>
        </is>
      </c>
      <c r="G58" t="inlineStr">
        <is>
          <t>Cotton Kurta</t>
        </is>
      </c>
      <c r="H58" t="inlineStr">
        <is>
          <t>Apparel</t>
        </is>
      </c>
      <c r="I58" s="3" t="n">
        <v>1400</v>
      </c>
      <c r="J58" t="n">
        <v>1</v>
      </c>
      <c r="K58" s="3" t="n">
        <v>1400</v>
      </c>
      <c r="L58" s="3" t="n">
        <v>1400</v>
      </c>
      <c r="M58" t="inlineStr">
        <is>
          <t>completed</t>
        </is>
      </c>
    </row>
    <row r="59">
      <c r="A59" t="n">
        <v>1026</v>
      </c>
      <c r="B59" s="2" t="inlineStr">
        <is>
          <t>2026-09</t>
        </is>
      </c>
      <c r="C59" t="inlineStr">
        <is>
          <t>Vikram</t>
        </is>
      </c>
      <c r="D59" t="inlineStr">
        <is>
          <t>Singh</t>
        </is>
      </c>
      <c r="E59" t="inlineStr">
        <is>
          <t>North</t>
        </is>
      </c>
      <c r="F59" t="inlineStr">
        <is>
          <t>Arjun Mehta</t>
        </is>
      </c>
      <c r="G59" t="inlineStr">
        <is>
          <t>Cotton Kurta</t>
        </is>
      </c>
      <c r="H59" t="inlineStr">
        <is>
          <t>Apparel</t>
        </is>
      </c>
      <c r="I59" s="3" t="n">
        <v>1400</v>
      </c>
      <c r="J59" t="n">
        <v>1</v>
      </c>
      <c r="K59" s="3" t="n">
        <v>1400</v>
      </c>
      <c r="L59" s="3" t="n">
        <v>1400</v>
      </c>
      <c r="M59" t="inlineStr">
        <is>
          <t>completed</t>
        </is>
      </c>
    </row>
    <row r="60">
      <c r="A60" t="n">
        <v>1079</v>
      </c>
      <c r="B60" s="2" t="inlineStr">
        <is>
          <t>2026-11</t>
        </is>
      </c>
      <c r="C60" t="inlineStr">
        <is>
          <t>Sneha</t>
        </is>
      </c>
      <c r="D60" t="inlineStr">
        <is>
          <t>Das</t>
        </is>
      </c>
      <c r="E60" t="inlineStr">
        <is>
          <t>West</t>
        </is>
      </c>
      <c r="F60" t="inlineStr">
        <is>
          <t>Neha Kulkarni</t>
        </is>
      </c>
      <c r="G60" t="inlineStr">
        <is>
          <t>Cotton Kurta</t>
        </is>
      </c>
      <c r="H60" t="inlineStr">
        <is>
          <t>Apparel</t>
        </is>
      </c>
      <c r="I60" s="3" t="n">
        <v>1400</v>
      </c>
      <c r="J60" t="n">
        <v>1</v>
      </c>
      <c r="K60" s="3" t="n">
        <v>1400</v>
      </c>
      <c r="L60" s="3" t="n">
        <v>1400</v>
      </c>
      <c r="M60" t="inlineStr">
        <is>
          <t>completed</t>
        </is>
      </c>
    </row>
    <row r="61">
      <c r="A61" t="n">
        <v>1005</v>
      </c>
      <c r="B61" s="2" t="inlineStr">
        <is>
          <t>2026-09</t>
        </is>
      </c>
      <c r="C61" t="inlineStr">
        <is>
          <t>Tanvi</t>
        </is>
      </c>
      <c r="D61" t="inlineStr">
        <is>
          <t>Thakur</t>
        </is>
      </c>
      <c r="E61" t="inlineStr">
        <is>
          <t>South</t>
        </is>
      </c>
      <c r="F61" t="inlineStr">
        <is>
          <t>Kavya Nair</t>
        </is>
      </c>
      <c r="G61" t="inlineStr">
        <is>
          <t>Table Lamp</t>
        </is>
      </c>
      <c r="H61" t="inlineStr">
        <is>
          <t>Home</t>
        </is>
      </c>
      <c r="I61" s="3" t="n">
        <v>1100</v>
      </c>
      <c r="J61" t="n">
        <v>1</v>
      </c>
      <c r="K61" s="3" t="n">
        <v>1100</v>
      </c>
      <c r="L61" s="3" t="n">
        <v>1100</v>
      </c>
      <c r="M61" t="inlineStr">
        <is>
          <t>completed</t>
        </is>
      </c>
    </row>
    <row r="62">
      <c r="A62" t="n">
        <v>1025</v>
      </c>
      <c r="B62" s="2" t="inlineStr">
        <is>
          <t>2026-09</t>
        </is>
      </c>
      <c r="C62" t="inlineStr">
        <is>
          <t>Divya</t>
        </is>
      </c>
      <c r="D62" t="inlineStr">
        <is>
          <t>Gupta</t>
        </is>
      </c>
      <c r="E62" t="inlineStr">
        <is>
          <t>West</t>
        </is>
      </c>
      <c r="F62" t="inlineStr">
        <is>
          <t>Neha Kulkarni</t>
        </is>
      </c>
      <c r="G62" t="inlineStr">
        <is>
          <t>Table Lamp</t>
        </is>
      </c>
      <c r="H62" t="inlineStr">
        <is>
          <t>Home</t>
        </is>
      </c>
      <c r="I62" s="3" t="n">
        <v>1100</v>
      </c>
      <c r="J62" t="n">
        <v>1</v>
      </c>
      <c r="K62" s="3" t="n">
        <v>1100</v>
      </c>
      <c r="L62" s="3" t="n">
        <v>1100</v>
      </c>
      <c r="M62" t="inlineStr">
        <is>
          <t>completed</t>
        </is>
      </c>
    </row>
    <row r="63">
      <c r="A63" t="n">
        <v>1048</v>
      </c>
      <c r="B63" s="2" t="inlineStr">
        <is>
          <t>2026-10</t>
        </is>
      </c>
      <c r="C63" t="inlineStr">
        <is>
          <t>Priya</t>
        </is>
      </c>
      <c r="D63" t="inlineStr">
        <is>
          <t>Iyer</t>
        </is>
      </c>
      <c r="E63" t="inlineStr">
        <is>
          <t>South</t>
        </is>
      </c>
      <c r="F63" t="inlineStr">
        <is>
          <t>Kavya Nair</t>
        </is>
      </c>
      <c r="G63" t="inlineStr">
        <is>
          <t>Table Lamp</t>
        </is>
      </c>
      <c r="H63" t="inlineStr">
        <is>
          <t>Home</t>
        </is>
      </c>
      <c r="I63" s="3" t="n">
        <v>1100</v>
      </c>
      <c r="J63" t="n">
        <v>1</v>
      </c>
      <c r="K63" s="3" t="n">
        <v>1100</v>
      </c>
      <c r="L63" s="3" t="n">
        <v>1100</v>
      </c>
      <c r="M63" t="inlineStr">
        <is>
          <t>completed</t>
        </is>
      </c>
    </row>
    <row r="64">
      <c r="A64" t="n">
        <v>1089</v>
      </c>
      <c r="B64" s="2" t="inlineStr">
        <is>
          <t>2026-11</t>
        </is>
      </c>
      <c r="C64" t="inlineStr">
        <is>
          <t>Meera</t>
        </is>
      </c>
      <c r="D64" t="inlineStr">
        <is>
          <t>Patil</t>
        </is>
      </c>
      <c r="E64" t="inlineStr">
        <is>
          <t>South</t>
        </is>
      </c>
      <c r="F64" t="inlineStr">
        <is>
          <t>Kavya Nair</t>
        </is>
      </c>
      <c r="G64" t="inlineStr">
        <is>
          <t>Table Lamp</t>
        </is>
      </c>
      <c r="H64" t="inlineStr">
        <is>
          <t>Home</t>
        </is>
      </c>
      <c r="I64" s="3" t="n">
        <v>1100</v>
      </c>
      <c r="J64" t="n">
        <v>1</v>
      </c>
      <c r="K64" s="3" t="n">
        <v>1100</v>
      </c>
      <c r="L64" s="3" t="n">
        <v>1100</v>
      </c>
      <c r="M64" t="inlineStr">
        <is>
          <t>completed</t>
        </is>
      </c>
    </row>
  </sheetData>
  <autoFilter ref="A1:W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2026-10-25T15:03:22Z</dcterms:created>
  <dcterms:modified xmlns:dcterms="http://purl.org/dc/terms/" xmlns:xsi="http://www.w3.org/2001/XMLSchema-instance" xsi:type="dcterms:W3CDTF">2026-10-25T15:03:22Z</dcterms:modified>
</cp:coreProperties>
</file>